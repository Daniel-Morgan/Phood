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revisions/userNames1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evisions/revisionHeaders.xml" ContentType="application/vnd.openxmlformats-officedocument.spreadsheetml.revisionHeaders+xml"/>
  <Override PartName="/xl/revisions/revisionLog3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1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dough\Google Drive\Michigan Technological University\Spring 2017\TSP\"/>
    </mc:Choice>
  </mc:AlternateContent>
  <bookViews>
    <workbookView xWindow="0" yWindow="0" windowWidth="15480" windowHeight="7365" tabRatio="620"/>
  </bookViews>
  <sheets>
    <sheet name="Sprint" sheetId="1" r:id="rId1"/>
    <sheet name="Analysis" sheetId="2" r:id="rId2"/>
    <sheet name="Capacity" sheetId="3" r:id="rId3"/>
    <sheet name="Team Roster" sheetId="4" r:id="rId4"/>
    <sheet name="Project Specific Reports" sheetId="5" r:id="rId5"/>
  </sheets>
  <definedNames>
    <definedName name="_xlnm._FilterDatabase" localSheetId="0" hidden="1">Sprint!$C$3:$CE$61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Reports'!$A$2:$A$5</definedName>
    <definedName name="Z_C9C5CC50_BE5D_4B67_8515_C7A7865425FC_.wvu.Cols" localSheetId="0" hidden="1">Sprint!$AZ:$CC</definedName>
    <definedName name="Z_C9C5CC50_BE5D_4B67_8515_C7A7865425FC_.wvu.FilterData" localSheetId="0" hidden="1">Sprint!$C$3:$CE$61</definedName>
    <definedName name="Z_C9C5CC50_BE5D_4B67_8515_C7A7865425FC_.wvu.PrintArea" localSheetId="2" hidden="1">Capacity!$A$4:$AB$33</definedName>
    <definedName name="Z_C9C5CC50_BE5D_4B67_8515_C7A7865425FC_.wvu.Rows" localSheetId="0" hidden="1">Sprint!$62:$62,Sprint!$64:$66</definedName>
  </definedNames>
  <calcPr calcId="171027"/>
  <customWorkbookViews>
    <customWorkbookView name="Piper Dougherty - Personal View" guid="{C9C5CC50-BE5D-4B67-8515-C7A7865425FC}" autoUpdate="1" mergeInterval="15" personalView="1" maximized="1" xWindow="-1928" yWindow="-8" windowWidth="1936" windowHeight="1056" tabRatio="620" activeSheetId="2"/>
  </customWorkbookViews>
</workbook>
</file>

<file path=xl/calcChain.xml><?xml version="1.0" encoding="utf-8"?>
<calcChain xmlns="http://schemas.openxmlformats.org/spreadsheetml/2006/main">
  <c r="G25" i="3" l="1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BA60" i="1"/>
  <c r="BD60" i="1" s="1"/>
  <c r="BG60" i="1" s="1"/>
  <c r="BJ60" i="1" s="1"/>
  <c r="BM60" i="1" s="1"/>
  <c r="BP60" i="1" s="1"/>
  <c r="BS60" i="1" s="1"/>
  <c r="BV60" i="1" s="1"/>
  <c r="BY60" i="1" s="1"/>
  <c r="CB60" i="1" s="1"/>
  <c r="K60" i="1"/>
  <c r="L60" i="1" s="1"/>
  <c r="BA59" i="1"/>
  <c r="BD59" i="1" s="1"/>
  <c r="BG59" i="1" s="1"/>
  <c r="BJ59" i="1" s="1"/>
  <c r="BM59" i="1" s="1"/>
  <c r="BP59" i="1" s="1"/>
  <c r="BS59" i="1" s="1"/>
  <c r="BV59" i="1" s="1"/>
  <c r="BY59" i="1" s="1"/>
  <c r="CB59" i="1" s="1"/>
  <c r="K59" i="1"/>
  <c r="L59" i="1" s="1"/>
  <c r="BA58" i="1"/>
  <c r="BD58" i="1" s="1"/>
  <c r="BG58" i="1" s="1"/>
  <c r="BJ58" i="1" s="1"/>
  <c r="BM58" i="1" s="1"/>
  <c r="BP58" i="1" s="1"/>
  <c r="BS58" i="1" s="1"/>
  <c r="BV58" i="1" s="1"/>
  <c r="BY58" i="1" s="1"/>
  <c r="CB58" i="1" s="1"/>
  <c r="K58" i="1"/>
  <c r="L58" i="1" s="1"/>
  <c r="BA57" i="1"/>
  <c r="BD57" i="1" s="1"/>
  <c r="BG57" i="1" s="1"/>
  <c r="BJ57" i="1" s="1"/>
  <c r="BM57" i="1" s="1"/>
  <c r="BP57" i="1" s="1"/>
  <c r="BS57" i="1" s="1"/>
  <c r="BV57" i="1" s="1"/>
  <c r="BY57" i="1" s="1"/>
  <c r="CB57" i="1" s="1"/>
  <c r="K57" i="1"/>
  <c r="L57" i="1" s="1"/>
  <c r="BA56" i="1"/>
  <c r="BD56" i="1" s="1"/>
  <c r="BG56" i="1" s="1"/>
  <c r="BJ56" i="1" s="1"/>
  <c r="BM56" i="1" s="1"/>
  <c r="BP56" i="1" s="1"/>
  <c r="BS56" i="1" s="1"/>
  <c r="BV56" i="1" s="1"/>
  <c r="BY56" i="1" s="1"/>
  <c r="CB56" i="1" s="1"/>
  <c r="K56" i="1"/>
  <c r="L56" i="1" s="1"/>
  <c r="BA55" i="1"/>
  <c r="BD55" i="1" s="1"/>
  <c r="BG55" i="1" s="1"/>
  <c r="BJ55" i="1" s="1"/>
  <c r="BM55" i="1" s="1"/>
  <c r="BP55" i="1" s="1"/>
  <c r="BS55" i="1" s="1"/>
  <c r="BV55" i="1" s="1"/>
  <c r="BY55" i="1" s="1"/>
  <c r="CB55" i="1" s="1"/>
  <c r="K55" i="1"/>
  <c r="L55" i="1" s="1"/>
  <c r="BA54" i="1"/>
  <c r="BD54" i="1" s="1"/>
  <c r="BG54" i="1" s="1"/>
  <c r="BJ54" i="1" s="1"/>
  <c r="BM54" i="1" s="1"/>
  <c r="BP54" i="1" s="1"/>
  <c r="BS54" i="1" s="1"/>
  <c r="BV54" i="1" s="1"/>
  <c r="BY54" i="1" s="1"/>
  <c r="CB54" i="1" s="1"/>
  <c r="K54" i="1"/>
  <c r="L54" i="1" s="1"/>
  <c r="BA53" i="1"/>
  <c r="BD53" i="1" s="1"/>
  <c r="BG53" i="1" s="1"/>
  <c r="BJ53" i="1" s="1"/>
  <c r="BM53" i="1" s="1"/>
  <c r="BP53" i="1" s="1"/>
  <c r="BS53" i="1" s="1"/>
  <c r="BV53" i="1" s="1"/>
  <c r="BY53" i="1" s="1"/>
  <c r="CB53" i="1" s="1"/>
  <c r="K53" i="1"/>
  <c r="L53" i="1" s="1"/>
  <c r="BA52" i="1"/>
  <c r="BD52" i="1" s="1"/>
  <c r="BG52" i="1" s="1"/>
  <c r="BJ52" i="1" s="1"/>
  <c r="BM52" i="1" s="1"/>
  <c r="BP52" i="1" s="1"/>
  <c r="BS52" i="1" s="1"/>
  <c r="BV52" i="1" s="1"/>
  <c r="BY52" i="1" s="1"/>
  <c r="CB52" i="1" s="1"/>
  <c r="K52" i="1"/>
  <c r="L52" i="1" s="1"/>
  <c r="BA51" i="1"/>
  <c r="BD51" i="1" s="1"/>
  <c r="BG51" i="1" s="1"/>
  <c r="BJ51" i="1" s="1"/>
  <c r="BM51" i="1" s="1"/>
  <c r="BP51" i="1" s="1"/>
  <c r="BS51" i="1" s="1"/>
  <c r="BV51" i="1" s="1"/>
  <c r="BY51" i="1" s="1"/>
  <c r="CB51" i="1" s="1"/>
  <c r="K51" i="1"/>
  <c r="L51" i="1" s="1"/>
  <c r="BA50" i="1"/>
  <c r="BD50" i="1" s="1"/>
  <c r="BG50" i="1" s="1"/>
  <c r="BJ50" i="1" s="1"/>
  <c r="BM50" i="1" s="1"/>
  <c r="BP50" i="1" s="1"/>
  <c r="BS50" i="1" s="1"/>
  <c r="BV50" i="1" s="1"/>
  <c r="BY50" i="1" s="1"/>
  <c r="CB50" i="1" s="1"/>
  <c r="K50" i="1"/>
  <c r="L50" i="1" s="1"/>
  <c r="BA49" i="1"/>
  <c r="BD49" i="1" s="1"/>
  <c r="BG49" i="1" s="1"/>
  <c r="BJ49" i="1" s="1"/>
  <c r="BM49" i="1" s="1"/>
  <c r="BP49" i="1" s="1"/>
  <c r="BS49" i="1" s="1"/>
  <c r="BV49" i="1" s="1"/>
  <c r="BY49" i="1" s="1"/>
  <c r="CB49" i="1" s="1"/>
  <c r="K49" i="1"/>
  <c r="L49" i="1" s="1"/>
  <c r="BA48" i="1"/>
  <c r="BD48" i="1" s="1"/>
  <c r="BG48" i="1" s="1"/>
  <c r="BJ48" i="1" s="1"/>
  <c r="BM48" i="1" s="1"/>
  <c r="BP48" i="1" s="1"/>
  <c r="BS48" i="1" s="1"/>
  <c r="BV48" i="1" s="1"/>
  <c r="BY48" i="1" s="1"/>
  <c r="CB48" i="1" s="1"/>
  <c r="K48" i="1"/>
  <c r="L48" i="1" s="1"/>
  <c r="BA47" i="1"/>
  <c r="BD47" i="1" s="1"/>
  <c r="BG47" i="1" s="1"/>
  <c r="BJ47" i="1" s="1"/>
  <c r="BM47" i="1" s="1"/>
  <c r="BP47" i="1" s="1"/>
  <c r="BS47" i="1" s="1"/>
  <c r="BV47" i="1" s="1"/>
  <c r="BY47" i="1" s="1"/>
  <c r="CB47" i="1" s="1"/>
  <c r="K47" i="1"/>
  <c r="L47" i="1" s="1"/>
  <c r="BA46" i="1"/>
  <c r="BD46" i="1" s="1"/>
  <c r="BG46" i="1" s="1"/>
  <c r="BJ46" i="1" s="1"/>
  <c r="BM46" i="1" s="1"/>
  <c r="BP46" i="1" s="1"/>
  <c r="BS46" i="1" s="1"/>
  <c r="BV46" i="1" s="1"/>
  <c r="BY46" i="1" s="1"/>
  <c r="CB46" i="1" s="1"/>
  <c r="K46" i="1"/>
  <c r="L46" i="1" s="1"/>
  <c r="BA45" i="1"/>
  <c r="BD45" i="1" s="1"/>
  <c r="BG45" i="1" s="1"/>
  <c r="BJ45" i="1" s="1"/>
  <c r="BM45" i="1" s="1"/>
  <c r="BP45" i="1" s="1"/>
  <c r="BS45" i="1" s="1"/>
  <c r="BV45" i="1" s="1"/>
  <c r="BY45" i="1" s="1"/>
  <c r="CB45" i="1" s="1"/>
  <c r="K45" i="1"/>
  <c r="L45" i="1" s="1"/>
  <c r="BA44" i="1"/>
  <c r="BD44" i="1" s="1"/>
  <c r="BG44" i="1" s="1"/>
  <c r="BJ44" i="1" s="1"/>
  <c r="BM44" i="1" s="1"/>
  <c r="BP44" i="1" s="1"/>
  <c r="BS44" i="1" s="1"/>
  <c r="BV44" i="1" s="1"/>
  <c r="BY44" i="1" s="1"/>
  <c r="CB44" i="1" s="1"/>
  <c r="K44" i="1"/>
  <c r="L44" i="1" s="1"/>
  <c r="BA43" i="1"/>
  <c r="BD43" i="1" s="1"/>
  <c r="BG43" i="1" s="1"/>
  <c r="BJ43" i="1" s="1"/>
  <c r="BM43" i="1" s="1"/>
  <c r="BP43" i="1" s="1"/>
  <c r="BS43" i="1" s="1"/>
  <c r="BV43" i="1" s="1"/>
  <c r="BY43" i="1" s="1"/>
  <c r="CB43" i="1" s="1"/>
  <c r="K43" i="1"/>
  <c r="L43" i="1" s="1"/>
  <c r="BA42" i="1"/>
  <c r="BD42" i="1" s="1"/>
  <c r="BG42" i="1" s="1"/>
  <c r="BJ42" i="1" s="1"/>
  <c r="BM42" i="1" s="1"/>
  <c r="BP42" i="1" s="1"/>
  <c r="BS42" i="1" s="1"/>
  <c r="BV42" i="1" s="1"/>
  <c r="BY42" i="1" s="1"/>
  <c r="CB42" i="1" s="1"/>
  <c r="K42" i="1"/>
  <c r="L42" i="1" s="1"/>
  <c r="BA41" i="1"/>
  <c r="BD41" i="1" s="1"/>
  <c r="BG41" i="1" s="1"/>
  <c r="BJ41" i="1" s="1"/>
  <c r="BM41" i="1" s="1"/>
  <c r="BP41" i="1" s="1"/>
  <c r="BS41" i="1" s="1"/>
  <c r="BV41" i="1" s="1"/>
  <c r="BY41" i="1" s="1"/>
  <c r="CB41" i="1" s="1"/>
  <c r="K41" i="1"/>
  <c r="L41" i="1" s="1"/>
  <c r="BA40" i="1"/>
  <c r="BD40" i="1" s="1"/>
  <c r="BG40" i="1" s="1"/>
  <c r="BJ40" i="1" s="1"/>
  <c r="BM40" i="1" s="1"/>
  <c r="BP40" i="1" s="1"/>
  <c r="BS40" i="1" s="1"/>
  <c r="BV40" i="1" s="1"/>
  <c r="BY40" i="1" s="1"/>
  <c r="CB40" i="1" s="1"/>
  <c r="K40" i="1"/>
  <c r="L40" i="1" s="1"/>
  <c r="BA39" i="1"/>
  <c r="BD39" i="1" s="1"/>
  <c r="BG39" i="1" s="1"/>
  <c r="BJ39" i="1" s="1"/>
  <c r="BM39" i="1" s="1"/>
  <c r="BP39" i="1" s="1"/>
  <c r="BS39" i="1" s="1"/>
  <c r="BV39" i="1" s="1"/>
  <c r="BY39" i="1" s="1"/>
  <c r="CB39" i="1" s="1"/>
  <c r="K39" i="1"/>
  <c r="L39" i="1" s="1"/>
  <c r="BA38" i="1"/>
  <c r="BD38" i="1" s="1"/>
  <c r="BG38" i="1" s="1"/>
  <c r="BJ38" i="1" s="1"/>
  <c r="BM38" i="1" s="1"/>
  <c r="BP38" i="1" s="1"/>
  <c r="BS38" i="1" s="1"/>
  <c r="BV38" i="1" s="1"/>
  <c r="BY38" i="1" s="1"/>
  <c r="CB38" i="1" s="1"/>
  <c r="K38" i="1"/>
  <c r="L38" i="1" s="1"/>
  <c r="BA37" i="1"/>
  <c r="BD37" i="1" s="1"/>
  <c r="BG37" i="1" s="1"/>
  <c r="BJ37" i="1" s="1"/>
  <c r="BM37" i="1" s="1"/>
  <c r="BP37" i="1" s="1"/>
  <c r="BS37" i="1" s="1"/>
  <c r="BV37" i="1" s="1"/>
  <c r="BY37" i="1" s="1"/>
  <c r="CB37" i="1" s="1"/>
  <c r="K37" i="1"/>
  <c r="L37" i="1" s="1"/>
  <c r="BA36" i="1"/>
  <c r="BD36" i="1" s="1"/>
  <c r="BG36" i="1" s="1"/>
  <c r="BJ36" i="1" s="1"/>
  <c r="BM36" i="1" s="1"/>
  <c r="BP36" i="1" s="1"/>
  <c r="BS36" i="1" s="1"/>
  <c r="BV36" i="1" s="1"/>
  <c r="BY36" i="1" s="1"/>
  <c r="CB36" i="1" s="1"/>
  <c r="K36" i="1"/>
  <c r="L36" i="1" s="1"/>
  <c r="BA35" i="1"/>
  <c r="BD35" i="1" s="1"/>
  <c r="BG35" i="1" s="1"/>
  <c r="BJ35" i="1" s="1"/>
  <c r="BM35" i="1" s="1"/>
  <c r="BP35" i="1" s="1"/>
  <c r="BS35" i="1" s="1"/>
  <c r="BV35" i="1" s="1"/>
  <c r="BY35" i="1" s="1"/>
  <c r="CB35" i="1" s="1"/>
  <c r="K35" i="1"/>
  <c r="L35" i="1" s="1"/>
  <c r="BA34" i="1"/>
  <c r="BD34" i="1" s="1"/>
  <c r="BG34" i="1" s="1"/>
  <c r="BJ34" i="1" s="1"/>
  <c r="BM34" i="1" s="1"/>
  <c r="BP34" i="1" s="1"/>
  <c r="BS34" i="1" s="1"/>
  <c r="BV34" i="1" s="1"/>
  <c r="BY34" i="1" s="1"/>
  <c r="CB34" i="1" s="1"/>
  <c r="K34" i="1"/>
  <c r="L34" i="1" s="1"/>
  <c r="BA33" i="1"/>
  <c r="BD33" i="1" s="1"/>
  <c r="BG33" i="1" s="1"/>
  <c r="BJ33" i="1" s="1"/>
  <c r="BM33" i="1" s="1"/>
  <c r="BP33" i="1" s="1"/>
  <c r="BS33" i="1" s="1"/>
  <c r="BV33" i="1" s="1"/>
  <c r="BY33" i="1" s="1"/>
  <c r="CB33" i="1" s="1"/>
  <c r="K33" i="1"/>
  <c r="L33" i="1" s="1"/>
  <c r="BA32" i="1"/>
  <c r="BD32" i="1" s="1"/>
  <c r="BG32" i="1" s="1"/>
  <c r="BJ32" i="1" s="1"/>
  <c r="BM32" i="1" s="1"/>
  <c r="BP32" i="1" s="1"/>
  <c r="BS32" i="1" s="1"/>
  <c r="BV32" i="1" s="1"/>
  <c r="BY32" i="1" s="1"/>
  <c r="CB32" i="1" s="1"/>
  <c r="K32" i="1"/>
  <c r="L32" i="1" s="1"/>
  <c r="BA31" i="1"/>
  <c r="BD31" i="1" s="1"/>
  <c r="BG31" i="1" s="1"/>
  <c r="BJ31" i="1" s="1"/>
  <c r="BM31" i="1" s="1"/>
  <c r="BP31" i="1" s="1"/>
  <c r="BS31" i="1" s="1"/>
  <c r="BV31" i="1" s="1"/>
  <c r="BY31" i="1" s="1"/>
  <c r="CB31" i="1" s="1"/>
  <c r="K31" i="1"/>
  <c r="L31" i="1" s="1"/>
  <c r="BA30" i="1"/>
  <c r="BD30" i="1" s="1"/>
  <c r="BG30" i="1" s="1"/>
  <c r="BJ30" i="1" s="1"/>
  <c r="BM30" i="1" s="1"/>
  <c r="BP30" i="1" s="1"/>
  <c r="BS30" i="1" s="1"/>
  <c r="BV30" i="1" s="1"/>
  <c r="BY30" i="1" s="1"/>
  <c r="CB30" i="1" s="1"/>
  <c r="K30" i="1"/>
  <c r="L30" i="1" s="1"/>
  <c r="BA29" i="1"/>
  <c r="BD29" i="1" s="1"/>
  <c r="BG29" i="1" s="1"/>
  <c r="BJ29" i="1" s="1"/>
  <c r="BM29" i="1" s="1"/>
  <c r="BP29" i="1" s="1"/>
  <c r="BS29" i="1" s="1"/>
  <c r="BV29" i="1" s="1"/>
  <c r="BY29" i="1" s="1"/>
  <c r="CB29" i="1" s="1"/>
  <c r="K29" i="1"/>
  <c r="L29" i="1" s="1"/>
  <c r="BA28" i="1"/>
  <c r="BD28" i="1" s="1"/>
  <c r="BG28" i="1" s="1"/>
  <c r="BJ28" i="1" s="1"/>
  <c r="BM28" i="1" s="1"/>
  <c r="BP28" i="1" s="1"/>
  <c r="BS28" i="1" s="1"/>
  <c r="BV28" i="1" s="1"/>
  <c r="BY28" i="1" s="1"/>
  <c r="CB28" i="1" s="1"/>
  <c r="K28" i="1"/>
  <c r="L28" i="1" s="1"/>
  <c r="BA27" i="1"/>
  <c r="BD27" i="1" s="1"/>
  <c r="BG27" i="1" s="1"/>
  <c r="BJ27" i="1" s="1"/>
  <c r="BM27" i="1" s="1"/>
  <c r="BP27" i="1" s="1"/>
  <c r="BS27" i="1" s="1"/>
  <c r="BV27" i="1" s="1"/>
  <c r="BY27" i="1" s="1"/>
  <c r="CB27" i="1" s="1"/>
  <c r="K27" i="1"/>
  <c r="L27" i="1" s="1"/>
  <c r="BA26" i="1"/>
  <c r="BD26" i="1" s="1"/>
  <c r="BG26" i="1" s="1"/>
  <c r="BJ26" i="1" s="1"/>
  <c r="BM26" i="1" s="1"/>
  <c r="BP26" i="1" s="1"/>
  <c r="BS26" i="1" s="1"/>
  <c r="BV26" i="1" s="1"/>
  <c r="BY26" i="1" s="1"/>
  <c r="CB26" i="1" s="1"/>
  <c r="K26" i="1"/>
  <c r="L26" i="1" s="1"/>
  <c r="BA25" i="1"/>
  <c r="BD25" i="1" s="1"/>
  <c r="BG25" i="1" s="1"/>
  <c r="BJ25" i="1" s="1"/>
  <c r="BM25" i="1" s="1"/>
  <c r="BP25" i="1" s="1"/>
  <c r="BS25" i="1" s="1"/>
  <c r="BV25" i="1" s="1"/>
  <c r="BY25" i="1" s="1"/>
  <c r="CB25" i="1" s="1"/>
  <c r="K25" i="1"/>
  <c r="BA24" i="1"/>
  <c r="BD24" i="1" s="1"/>
  <c r="BG24" i="1" s="1"/>
  <c r="BJ24" i="1" s="1"/>
  <c r="BM24" i="1" s="1"/>
  <c r="BP24" i="1" s="1"/>
  <c r="BS24" i="1" s="1"/>
  <c r="BV24" i="1" s="1"/>
  <c r="BY24" i="1" s="1"/>
  <c r="CB24" i="1" s="1"/>
  <c r="K24" i="1"/>
  <c r="L24" i="1" s="1"/>
  <c r="BA23" i="1"/>
  <c r="BD23" i="1" s="1"/>
  <c r="BG23" i="1" s="1"/>
  <c r="BJ23" i="1" s="1"/>
  <c r="BM23" i="1" s="1"/>
  <c r="BP23" i="1" s="1"/>
  <c r="BS23" i="1" s="1"/>
  <c r="BV23" i="1" s="1"/>
  <c r="BY23" i="1" s="1"/>
  <c r="CB23" i="1" s="1"/>
  <c r="K23" i="1"/>
  <c r="L23" i="1" s="1"/>
  <c r="BA22" i="1"/>
  <c r="BD22" i="1" s="1"/>
  <c r="BG22" i="1" s="1"/>
  <c r="BJ22" i="1" s="1"/>
  <c r="BM22" i="1" s="1"/>
  <c r="BP22" i="1" s="1"/>
  <c r="BS22" i="1" s="1"/>
  <c r="BV22" i="1" s="1"/>
  <c r="BY22" i="1" s="1"/>
  <c r="CB22" i="1" s="1"/>
  <c r="L22" i="1"/>
  <c r="K22" i="1"/>
  <c r="BA21" i="1"/>
  <c r="BD21" i="1" s="1"/>
  <c r="BG21" i="1" s="1"/>
  <c r="BJ21" i="1" s="1"/>
  <c r="BM21" i="1" s="1"/>
  <c r="BP21" i="1" s="1"/>
  <c r="BS21" i="1" s="1"/>
  <c r="BV21" i="1" s="1"/>
  <c r="BY21" i="1" s="1"/>
  <c r="CB21" i="1" s="1"/>
  <c r="K21" i="1"/>
  <c r="L21" i="1" s="1"/>
  <c r="BA20" i="1"/>
  <c r="BD20" i="1" s="1"/>
  <c r="BG20" i="1" s="1"/>
  <c r="BJ20" i="1" s="1"/>
  <c r="BM20" i="1" s="1"/>
  <c r="BP20" i="1" s="1"/>
  <c r="BS20" i="1" s="1"/>
  <c r="BV20" i="1" s="1"/>
  <c r="BY20" i="1" s="1"/>
  <c r="CB20" i="1" s="1"/>
  <c r="K20" i="1"/>
  <c r="L20" i="1" s="1"/>
  <c r="BA19" i="1"/>
  <c r="BD19" i="1" s="1"/>
  <c r="BG19" i="1" s="1"/>
  <c r="BJ19" i="1" s="1"/>
  <c r="BM19" i="1" s="1"/>
  <c r="BP19" i="1" s="1"/>
  <c r="BS19" i="1" s="1"/>
  <c r="BV19" i="1" s="1"/>
  <c r="BY19" i="1" s="1"/>
  <c r="CB19" i="1" s="1"/>
  <c r="K19" i="1"/>
  <c r="L19" i="1" s="1"/>
  <c r="BA18" i="1"/>
  <c r="BD18" i="1" s="1"/>
  <c r="BG18" i="1" s="1"/>
  <c r="BJ18" i="1" s="1"/>
  <c r="BM18" i="1" s="1"/>
  <c r="BP18" i="1" s="1"/>
  <c r="BS18" i="1" s="1"/>
  <c r="BV18" i="1" s="1"/>
  <c r="BY18" i="1" s="1"/>
  <c r="CB18" i="1" s="1"/>
  <c r="K18" i="1"/>
  <c r="L18" i="1" s="1"/>
  <c r="BA17" i="1"/>
  <c r="BD17" i="1" s="1"/>
  <c r="BG17" i="1" s="1"/>
  <c r="BJ17" i="1" s="1"/>
  <c r="BM17" i="1" s="1"/>
  <c r="BP17" i="1" s="1"/>
  <c r="BS17" i="1" s="1"/>
  <c r="BV17" i="1" s="1"/>
  <c r="BY17" i="1" s="1"/>
  <c r="CB17" i="1" s="1"/>
  <c r="K17" i="1"/>
  <c r="L17" i="1" s="1"/>
  <c r="BA16" i="1"/>
  <c r="BD16" i="1" s="1"/>
  <c r="BG16" i="1" s="1"/>
  <c r="BJ16" i="1" s="1"/>
  <c r="BM16" i="1" s="1"/>
  <c r="BP16" i="1" s="1"/>
  <c r="BS16" i="1" s="1"/>
  <c r="BV16" i="1" s="1"/>
  <c r="BY16" i="1" s="1"/>
  <c r="CB16" i="1" s="1"/>
  <c r="K16" i="1"/>
  <c r="L16" i="1" s="1"/>
  <c r="BA15" i="1"/>
  <c r="BD15" i="1" s="1"/>
  <c r="BG15" i="1" s="1"/>
  <c r="BJ15" i="1" s="1"/>
  <c r="BM15" i="1" s="1"/>
  <c r="BP15" i="1" s="1"/>
  <c r="BS15" i="1" s="1"/>
  <c r="BV15" i="1" s="1"/>
  <c r="BY15" i="1" s="1"/>
  <c r="CB15" i="1" s="1"/>
  <c r="K15" i="1"/>
  <c r="L15" i="1" s="1"/>
  <c r="BA14" i="1"/>
  <c r="BD14" i="1" s="1"/>
  <c r="BG14" i="1" s="1"/>
  <c r="BJ14" i="1" s="1"/>
  <c r="BM14" i="1" s="1"/>
  <c r="BP14" i="1" s="1"/>
  <c r="BS14" i="1" s="1"/>
  <c r="BV14" i="1" s="1"/>
  <c r="BY14" i="1" s="1"/>
  <c r="CB14" i="1" s="1"/>
  <c r="K14" i="1"/>
  <c r="L14" i="1" s="1"/>
  <c r="BA13" i="1"/>
  <c r="BD13" i="1" s="1"/>
  <c r="BG13" i="1" s="1"/>
  <c r="BJ13" i="1" s="1"/>
  <c r="BM13" i="1" s="1"/>
  <c r="BP13" i="1" s="1"/>
  <c r="BS13" i="1" s="1"/>
  <c r="BV13" i="1" s="1"/>
  <c r="BY13" i="1" s="1"/>
  <c r="CB13" i="1" s="1"/>
  <c r="K13" i="1"/>
  <c r="L13" i="1" s="1"/>
  <c r="BA12" i="1"/>
  <c r="BD12" i="1" s="1"/>
  <c r="BG12" i="1" s="1"/>
  <c r="BJ12" i="1" s="1"/>
  <c r="BM12" i="1" s="1"/>
  <c r="BP12" i="1" s="1"/>
  <c r="BS12" i="1" s="1"/>
  <c r="BV12" i="1" s="1"/>
  <c r="BY12" i="1" s="1"/>
  <c r="CB12" i="1" s="1"/>
  <c r="K12" i="1"/>
  <c r="BA11" i="1"/>
  <c r="BD11" i="1" s="1"/>
  <c r="BG11" i="1" s="1"/>
  <c r="BJ11" i="1" s="1"/>
  <c r="BM11" i="1" s="1"/>
  <c r="BP11" i="1" s="1"/>
  <c r="BS11" i="1" s="1"/>
  <c r="BV11" i="1" s="1"/>
  <c r="BY11" i="1" s="1"/>
  <c r="CB11" i="1" s="1"/>
  <c r="K11" i="1"/>
  <c r="L11" i="1" s="1"/>
  <c r="BA10" i="1"/>
  <c r="BD10" i="1" s="1"/>
  <c r="BG10" i="1" s="1"/>
  <c r="BJ10" i="1" s="1"/>
  <c r="BM10" i="1" s="1"/>
  <c r="BP10" i="1" s="1"/>
  <c r="BS10" i="1" s="1"/>
  <c r="BV10" i="1" s="1"/>
  <c r="BY10" i="1" s="1"/>
  <c r="CB10" i="1" s="1"/>
  <c r="K10" i="1"/>
  <c r="L10" i="1" s="1"/>
  <c r="BA9" i="1"/>
  <c r="BD9" i="1" s="1"/>
  <c r="BG9" i="1" s="1"/>
  <c r="BJ9" i="1" s="1"/>
  <c r="BM9" i="1" s="1"/>
  <c r="BP9" i="1" s="1"/>
  <c r="BS9" i="1" s="1"/>
  <c r="BV9" i="1" s="1"/>
  <c r="BY9" i="1" s="1"/>
  <c r="CB9" i="1" s="1"/>
  <c r="K9" i="1"/>
  <c r="L9" i="1" s="1"/>
  <c r="BA8" i="1"/>
  <c r="BD8" i="1" s="1"/>
  <c r="BG8" i="1" s="1"/>
  <c r="BJ8" i="1" s="1"/>
  <c r="BM8" i="1" s="1"/>
  <c r="BP8" i="1" s="1"/>
  <c r="BS8" i="1" s="1"/>
  <c r="BV8" i="1" s="1"/>
  <c r="BY8" i="1" s="1"/>
  <c r="CB8" i="1" s="1"/>
  <c r="K8" i="1"/>
  <c r="L8" i="1" s="1"/>
  <c r="BA7" i="1"/>
  <c r="BD7" i="1" s="1"/>
  <c r="BG7" i="1" s="1"/>
  <c r="BJ7" i="1" s="1"/>
  <c r="BM7" i="1" s="1"/>
  <c r="BP7" i="1" s="1"/>
  <c r="BS7" i="1" s="1"/>
  <c r="BV7" i="1" s="1"/>
  <c r="BY7" i="1" s="1"/>
  <c r="CB7" i="1" s="1"/>
  <c r="K7" i="1"/>
  <c r="L7" i="1" s="1"/>
  <c r="BA6" i="1"/>
  <c r="BD6" i="1" s="1"/>
  <c r="BG6" i="1" s="1"/>
  <c r="BJ6" i="1" s="1"/>
  <c r="BM6" i="1" s="1"/>
  <c r="BP6" i="1" s="1"/>
  <c r="BS6" i="1" s="1"/>
  <c r="BV6" i="1" s="1"/>
  <c r="BY6" i="1" s="1"/>
  <c r="CB6" i="1" s="1"/>
  <c r="K6" i="1"/>
  <c r="L6" i="1" s="1"/>
  <c r="BA5" i="1"/>
  <c r="BD5" i="1" s="1"/>
  <c r="BG5" i="1" s="1"/>
  <c r="BJ5" i="1" s="1"/>
  <c r="BM5" i="1" s="1"/>
  <c r="BP5" i="1" s="1"/>
  <c r="BS5" i="1" s="1"/>
  <c r="BV5" i="1" s="1"/>
  <c r="BY5" i="1" s="1"/>
  <c r="CB5" i="1" s="1"/>
  <c r="K5" i="1"/>
  <c r="L5" i="1" s="1"/>
  <c r="BA61" i="1"/>
  <c r="BD61" i="1" s="1"/>
  <c r="BG61" i="1" s="1"/>
  <c r="BJ61" i="1" s="1"/>
  <c r="BM61" i="1" s="1"/>
  <c r="BP61" i="1" s="1"/>
  <c r="BS61" i="1" s="1"/>
  <c r="BV61" i="1" s="1"/>
  <c r="BY61" i="1" s="1"/>
  <c r="CB61" i="1" s="1"/>
  <c r="K61" i="1"/>
  <c r="L61" i="1" s="1"/>
  <c r="L12" i="1" l="1"/>
  <c r="N5" i="1"/>
  <c r="Q5" i="1" s="1"/>
  <c r="T5" i="1" s="1"/>
  <c r="W5" i="1" s="1"/>
  <c r="Z5" i="1" s="1"/>
  <c r="AC5" i="1" s="1"/>
  <c r="AF5" i="1" s="1"/>
  <c r="AI5" i="1" s="1"/>
  <c r="AL5" i="1" s="1"/>
  <c r="AO5" i="1" s="1"/>
  <c r="AR5" i="1" s="1"/>
  <c r="AU5" i="1" s="1"/>
  <c r="AX5" i="1" s="1"/>
  <c r="G8" i="3" s="1"/>
  <c r="N6" i="1"/>
  <c r="Q6" i="1" s="1"/>
  <c r="T6" i="1" s="1"/>
  <c r="W6" i="1" s="1"/>
  <c r="Z6" i="1" s="1"/>
  <c r="AC6" i="1" s="1"/>
  <c r="AF6" i="1" s="1"/>
  <c r="AI6" i="1" s="1"/>
  <c r="AL6" i="1" s="1"/>
  <c r="AO6" i="1" s="1"/>
  <c r="AR6" i="1" s="1"/>
  <c r="AU6" i="1" s="1"/>
  <c r="AX6" i="1" s="1"/>
  <c r="N7" i="1"/>
  <c r="Q7" i="1" s="1"/>
  <c r="T7" i="1" s="1"/>
  <c r="W7" i="1" s="1"/>
  <c r="Z7" i="1" s="1"/>
  <c r="AC7" i="1" s="1"/>
  <c r="AF7" i="1" s="1"/>
  <c r="AI7" i="1" s="1"/>
  <c r="AL7" i="1" s="1"/>
  <c r="AO7" i="1" s="1"/>
  <c r="AR7" i="1" s="1"/>
  <c r="AU7" i="1" s="1"/>
  <c r="AX7" i="1" s="1"/>
  <c r="N8" i="1"/>
  <c r="Q8" i="1" s="1"/>
  <c r="T8" i="1" s="1"/>
  <c r="W8" i="1" s="1"/>
  <c r="Z8" i="1" s="1"/>
  <c r="AC8" i="1" s="1"/>
  <c r="AF8" i="1" s="1"/>
  <c r="AI8" i="1" s="1"/>
  <c r="AL8" i="1" s="1"/>
  <c r="AO8" i="1" s="1"/>
  <c r="AR8" i="1" s="1"/>
  <c r="AU8" i="1" s="1"/>
  <c r="AX8" i="1" s="1"/>
  <c r="N9" i="1"/>
  <c r="Q9" i="1" s="1"/>
  <c r="T9" i="1" s="1"/>
  <c r="W9" i="1" s="1"/>
  <c r="Z9" i="1" s="1"/>
  <c r="AC9" i="1" s="1"/>
  <c r="AF9" i="1" s="1"/>
  <c r="AI9" i="1" s="1"/>
  <c r="AL9" i="1" s="1"/>
  <c r="AO9" i="1" s="1"/>
  <c r="AR9" i="1" s="1"/>
  <c r="AU9" i="1" s="1"/>
  <c r="AX9" i="1" s="1"/>
  <c r="N10" i="1"/>
  <c r="Q10" i="1" s="1"/>
  <c r="T10" i="1" s="1"/>
  <c r="W10" i="1" s="1"/>
  <c r="Z10" i="1" s="1"/>
  <c r="AC10" i="1" s="1"/>
  <c r="AF10" i="1" s="1"/>
  <c r="AI10" i="1" s="1"/>
  <c r="AL10" i="1" s="1"/>
  <c r="AO10" i="1" s="1"/>
  <c r="AR10" i="1" s="1"/>
  <c r="AU10" i="1" s="1"/>
  <c r="AX10" i="1" s="1"/>
  <c r="N11" i="1"/>
  <c r="Q11" i="1" s="1"/>
  <c r="T11" i="1" s="1"/>
  <c r="W11" i="1" s="1"/>
  <c r="Z11" i="1" s="1"/>
  <c r="AC11" i="1" s="1"/>
  <c r="AF11" i="1" s="1"/>
  <c r="AI11" i="1" s="1"/>
  <c r="AL11" i="1" s="1"/>
  <c r="AO11" i="1" s="1"/>
  <c r="AR11" i="1" s="1"/>
  <c r="AU11" i="1" s="1"/>
  <c r="AX11" i="1" s="1"/>
  <c r="N12" i="1"/>
  <c r="Q12" i="1" s="1"/>
  <c r="T12" i="1" s="1"/>
  <c r="W12" i="1" s="1"/>
  <c r="Z12" i="1" s="1"/>
  <c r="AC12" i="1" s="1"/>
  <c r="AF12" i="1" s="1"/>
  <c r="AI12" i="1" s="1"/>
  <c r="AL12" i="1" s="1"/>
  <c r="AO12" i="1" s="1"/>
  <c r="AR12" i="1" s="1"/>
  <c r="AU12" i="1" s="1"/>
  <c r="AX12" i="1" s="1"/>
  <c r="L25" i="1"/>
  <c r="N25" i="1"/>
  <c r="Q25" i="1" s="1"/>
  <c r="T25" i="1" s="1"/>
  <c r="W25" i="1" s="1"/>
  <c r="Z25" i="1" s="1"/>
  <c r="AC25" i="1" s="1"/>
  <c r="AF25" i="1" s="1"/>
  <c r="AI25" i="1" s="1"/>
  <c r="AL25" i="1" s="1"/>
  <c r="AO25" i="1" s="1"/>
  <c r="AR25" i="1" s="1"/>
  <c r="AU25" i="1" s="1"/>
  <c r="AX25" i="1" s="1"/>
  <c r="N13" i="1"/>
  <c r="N14" i="1"/>
  <c r="Q14" i="1" s="1"/>
  <c r="T14" i="1" s="1"/>
  <c r="W14" i="1" s="1"/>
  <c r="Z14" i="1" s="1"/>
  <c r="AC14" i="1" s="1"/>
  <c r="AF14" i="1" s="1"/>
  <c r="AI14" i="1" s="1"/>
  <c r="AL14" i="1" s="1"/>
  <c r="AO14" i="1" s="1"/>
  <c r="AR14" i="1" s="1"/>
  <c r="AU14" i="1" s="1"/>
  <c r="AX14" i="1" s="1"/>
  <c r="N15" i="1"/>
  <c r="N16" i="1"/>
  <c r="Q16" i="1" s="1"/>
  <c r="T16" i="1" s="1"/>
  <c r="W16" i="1" s="1"/>
  <c r="Z16" i="1" s="1"/>
  <c r="AC16" i="1" s="1"/>
  <c r="AF16" i="1" s="1"/>
  <c r="AI16" i="1" s="1"/>
  <c r="AL16" i="1" s="1"/>
  <c r="AO16" i="1" s="1"/>
  <c r="AR16" i="1" s="1"/>
  <c r="AU16" i="1" s="1"/>
  <c r="AX16" i="1" s="1"/>
  <c r="N17" i="1"/>
  <c r="N18" i="1"/>
  <c r="Q18" i="1" s="1"/>
  <c r="T18" i="1" s="1"/>
  <c r="W18" i="1" s="1"/>
  <c r="Z18" i="1" s="1"/>
  <c r="AC18" i="1" s="1"/>
  <c r="AF18" i="1" s="1"/>
  <c r="AI18" i="1" s="1"/>
  <c r="AL18" i="1" s="1"/>
  <c r="AO18" i="1" s="1"/>
  <c r="AR18" i="1" s="1"/>
  <c r="AU18" i="1" s="1"/>
  <c r="AX18" i="1" s="1"/>
  <c r="N19" i="1"/>
  <c r="N20" i="1"/>
  <c r="Q20" i="1" s="1"/>
  <c r="T20" i="1" s="1"/>
  <c r="W20" i="1" s="1"/>
  <c r="Z20" i="1" s="1"/>
  <c r="AC20" i="1" s="1"/>
  <c r="AF20" i="1" s="1"/>
  <c r="AI20" i="1" s="1"/>
  <c r="AL20" i="1" s="1"/>
  <c r="AO20" i="1" s="1"/>
  <c r="AR20" i="1" s="1"/>
  <c r="AU20" i="1" s="1"/>
  <c r="AX20" i="1" s="1"/>
  <c r="N21" i="1"/>
  <c r="N22" i="1"/>
  <c r="Q22" i="1" s="1"/>
  <c r="T22" i="1" s="1"/>
  <c r="W22" i="1" s="1"/>
  <c r="Z22" i="1" s="1"/>
  <c r="AC22" i="1" s="1"/>
  <c r="AF22" i="1" s="1"/>
  <c r="AI22" i="1" s="1"/>
  <c r="AL22" i="1" s="1"/>
  <c r="AO22" i="1" s="1"/>
  <c r="AR22" i="1" s="1"/>
  <c r="AU22" i="1" s="1"/>
  <c r="AX22" i="1" s="1"/>
  <c r="N23" i="1"/>
  <c r="N24" i="1"/>
  <c r="Q24" i="1" s="1"/>
  <c r="T24" i="1" s="1"/>
  <c r="W24" i="1" s="1"/>
  <c r="Z24" i="1" s="1"/>
  <c r="AC24" i="1" s="1"/>
  <c r="AF24" i="1" s="1"/>
  <c r="AI24" i="1" s="1"/>
  <c r="AL24" i="1" s="1"/>
  <c r="AO24" i="1" s="1"/>
  <c r="AR24" i="1" s="1"/>
  <c r="AU24" i="1" s="1"/>
  <c r="AX24" i="1" s="1"/>
  <c r="O25" i="1"/>
  <c r="N26" i="1"/>
  <c r="Q26" i="1" s="1"/>
  <c r="T26" i="1" s="1"/>
  <c r="W26" i="1" s="1"/>
  <c r="Z26" i="1" s="1"/>
  <c r="AC26" i="1" s="1"/>
  <c r="AF26" i="1" s="1"/>
  <c r="AI26" i="1" s="1"/>
  <c r="AL26" i="1" s="1"/>
  <c r="AO26" i="1" s="1"/>
  <c r="AR26" i="1" s="1"/>
  <c r="AU26" i="1" s="1"/>
  <c r="AX26" i="1" s="1"/>
  <c r="N27" i="1"/>
  <c r="N28" i="1"/>
  <c r="Q28" i="1" s="1"/>
  <c r="T28" i="1" s="1"/>
  <c r="W28" i="1" s="1"/>
  <c r="Z28" i="1" s="1"/>
  <c r="AC28" i="1" s="1"/>
  <c r="AF28" i="1" s="1"/>
  <c r="AI28" i="1" s="1"/>
  <c r="AL28" i="1" s="1"/>
  <c r="AO28" i="1" s="1"/>
  <c r="AR28" i="1" s="1"/>
  <c r="AU28" i="1" s="1"/>
  <c r="AX28" i="1" s="1"/>
  <c r="N29" i="1"/>
  <c r="N30" i="1"/>
  <c r="Q30" i="1" s="1"/>
  <c r="T30" i="1" s="1"/>
  <c r="W30" i="1" s="1"/>
  <c r="Z30" i="1" s="1"/>
  <c r="AC30" i="1" s="1"/>
  <c r="AF30" i="1" s="1"/>
  <c r="AI30" i="1" s="1"/>
  <c r="AL30" i="1" s="1"/>
  <c r="AO30" i="1" s="1"/>
  <c r="AR30" i="1" s="1"/>
  <c r="AU30" i="1" s="1"/>
  <c r="AX30" i="1" s="1"/>
  <c r="N31" i="1"/>
  <c r="N32" i="1"/>
  <c r="Q32" i="1" s="1"/>
  <c r="T32" i="1" s="1"/>
  <c r="W32" i="1" s="1"/>
  <c r="Z32" i="1" s="1"/>
  <c r="AC32" i="1" s="1"/>
  <c r="AF32" i="1" s="1"/>
  <c r="AI32" i="1" s="1"/>
  <c r="AL32" i="1" s="1"/>
  <c r="AO32" i="1" s="1"/>
  <c r="AR32" i="1" s="1"/>
  <c r="AU32" i="1" s="1"/>
  <c r="AX32" i="1" s="1"/>
  <c r="N33" i="1"/>
  <c r="N34" i="1"/>
  <c r="Q34" i="1" s="1"/>
  <c r="T34" i="1" s="1"/>
  <c r="W34" i="1" s="1"/>
  <c r="Z34" i="1" s="1"/>
  <c r="AC34" i="1" s="1"/>
  <c r="AF34" i="1" s="1"/>
  <c r="AI34" i="1" s="1"/>
  <c r="AL34" i="1" s="1"/>
  <c r="AO34" i="1" s="1"/>
  <c r="AR34" i="1" s="1"/>
  <c r="AU34" i="1" s="1"/>
  <c r="AX34" i="1" s="1"/>
  <c r="N35" i="1"/>
  <c r="N36" i="1"/>
  <c r="Q36" i="1" s="1"/>
  <c r="T36" i="1" s="1"/>
  <c r="W36" i="1" s="1"/>
  <c r="Z36" i="1" s="1"/>
  <c r="AC36" i="1" s="1"/>
  <c r="AF36" i="1" s="1"/>
  <c r="AI36" i="1" s="1"/>
  <c r="AL36" i="1" s="1"/>
  <c r="AO36" i="1" s="1"/>
  <c r="AR36" i="1" s="1"/>
  <c r="AU36" i="1" s="1"/>
  <c r="AX36" i="1" s="1"/>
  <c r="N37" i="1"/>
  <c r="N38" i="1"/>
  <c r="Q38" i="1" s="1"/>
  <c r="T38" i="1" s="1"/>
  <c r="W38" i="1" s="1"/>
  <c r="Z38" i="1" s="1"/>
  <c r="AC38" i="1" s="1"/>
  <c r="AF38" i="1" s="1"/>
  <c r="AI38" i="1" s="1"/>
  <c r="AL38" i="1" s="1"/>
  <c r="AO38" i="1" s="1"/>
  <c r="AR38" i="1" s="1"/>
  <c r="AU38" i="1" s="1"/>
  <c r="AX38" i="1" s="1"/>
  <c r="N39" i="1"/>
  <c r="N40" i="1"/>
  <c r="Q40" i="1" s="1"/>
  <c r="T40" i="1" s="1"/>
  <c r="W40" i="1" s="1"/>
  <c r="Z40" i="1" s="1"/>
  <c r="AC40" i="1" s="1"/>
  <c r="AF40" i="1" s="1"/>
  <c r="AI40" i="1" s="1"/>
  <c r="AL40" i="1" s="1"/>
  <c r="AO40" i="1" s="1"/>
  <c r="AR40" i="1" s="1"/>
  <c r="AU40" i="1" s="1"/>
  <c r="AX40" i="1" s="1"/>
  <c r="N41" i="1"/>
  <c r="N42" i="1"/>
  <c r="Q42" i="1" s="1"/>
  <c r="T42" i="1" s="1"/>
  <c r="W42" i="1" s="1"/>
  <c r="Z42" i="1" s="1"/>
  <c r="AC42" i="1" s="1"/>
  <c r="AF42" i="1" s="1"/>
  <c r="AI42" i="1" s="1"/>
  <c r="AL42" i="1" s="1"/>
  <c r="AO42" i="1" s="1"/>
  <c r="AR42" i="1" s="1"/>
  <c r="AU42" i="1" s="1"/>
  <c r="AX42" i="1" s="1"/>
  <c r="N43" i="1"/>
  <c r="Q43" i="1" s="1"/>
  <c r="T43" i="1" s="1"/>
  <c r="W43" i="1" s="1"/>
  <c r="Z43" i="1" s="1"/>
  <c r="AC43" i="1" s="1"/>
  <c r="AF43" i="1" s="1"/>
  <c r="AI43" i="1" s="1"/>
  <c r="AL43" i="1" s="1"/>
  <c r="AO43" i="1" s="1"/>
  <c r="AR43" i="1" s="1"/>
  <c r="AU43" i="1" s="1"/>
  <c r="AX43" i="1" s="1"/>
  <c r="N44" i="1"/>
  <c r="Q44" i="1" s="1"/>
  <c r="T44" i="1" s="1"/>
  <c r="W44" i="1" s="1"/>
  <c r="Z44" i="1" s="1"/>
  <c r="AC44" i="1" s="1"/>
  <c r="AF44" i="1" s="1"/>
  <c r="AI44" i="1" s="1"/>
  <c r="AL44" i="1" s="1"/>
  <c r="AO44" i="1" s="1"/>
  <c r="AR44" i="1" s="1"/>
  <c r="AU44" i="1" s="1"/>
  <c r="AX44" i="1" s="1"/>
  <c r="O43" i="1"/>
  <c r="R43" i="1" s="1"/>
  <c r="U43" i="1" s="1"/>
  <c r="N45" i="1"/>
  <c r="N46" i="1"/>
  <c r="Q46" i="1" s="1"/>
  <c r="T46" i="1" s="1"/>
  <c r="W46" i="1" s="1"/>
  <c r="Z46" i="1" s="1"/>
  <c r="AC46" i="1" s="1"/>
  <c r="AF46" i="1" s="1"/>
  <c r="AI46" i="1" s="1"/>
  <c r="AL46" i="1" s="1"/>
  <c r="AO46" i="1" s="1"/>
  <c r="AR46" i="1" s="1"/>
  <c r="AU46" i="1" s="1"/>
  <c r="AX46" i="1" s="1"/>
  <c r="N47" i="1"/>
  <c r="N48" i="1"/>
  <c r="Q48" i="1" s="1"/>
  <c r="T48" i="1" s="1"/>
  <c r="W48" i="1" s="1"/>
  <c r="Z48" i="1" s="1"/>
  <c r="AC48" i="1" s="1"/>
  <c r="AF48" i="1" s="1"/>
  <c r="AI48" i="1" s="1"/>
  <c r="AL48" i="1" s="1"/>
  <c r="AO48" i="1" s="1"/>
  <c r="AR48" i="1" s="1"/>
  <c r="AU48" i="1" s="1"/>
  <c r="AX48" i="1" s="1"/>
  <c r="N49" i="1"/>
  <c r="N50" i="1"/>
  <c r="Q50" i="1" s="1"/>
  <c r="T50" i="1" s="1"/>
  <c r="W50" i="1" s="1"/>
  <c r="Z50" i="1" s="1"/>
  <c r="AC50" i="1" s="1"/>
  <c r="AF50" i="1" s="1"/>
  <c r="AI50" i="1" s="1"/>
  <c r="AL50" i="1" s="1"/>
  <c r="AO50" i="1" s="1"/>
  <c r="AR50" i="1" s="1"/>
  <c r="AU50" i="1" s="1"/>
  <c r="AX50" i="1" s="1"/>
  <c r="N51" i="1"/>
  <c r="Q51" i="1" s="1"/>
  <c r="T51" i="1" s="1"/>
  <c r="W51" i="1" s="1"/>
  <c r="Z51" i="1" s="1"/>
  <c r="AC51" i="1" s="1"/>
  <c r="AF51" i="1" s="1"/>
  <c r="AI51" i="1" s="1"/>
  <c r="AL51" i="1" s="1"/>
  <c r="AO51" i="1" s="1"/>
  <c r="AR51" i="1" s="1"/>
  <c r="AU51" i="1" s="1"/>
  <c r="AX51" i="1" s="1"/>
  <c r="N52" i="1"/>
  <c r="Q52" i="1" s="1"/>
  <c r="T52" i="1" s="1"/>
  <c r="W52" i="1" s="1"/>
  <c r="Z52" i="1" s="1"/>
  <c r="AC52" i="1" s="1"/>
  <c r="AF52" i="1" s="1"/>
  <c r="AI52" i="1" s="1"/>
  <c r="AL52" i="1" s="1"/>
  <c r="AO52" i="1" s="1"/>
  <c r="AR52" i="1" s="1"/>
  <c r="AU52" i="1" s="1"/>
  <c r="AX52" i="1" s="1"/>
  <c r="N53" i="1"/>
  <c r="Q53" i="1" s="1"/>
  <c r="T53" i="1" s="1"/>
  <c r="W53" i="1" s="1"/>
  <c r="Z53" i="1" s="1"/>
  <c r="AC53" i="1" s="1"/>
  <c r="AF53" i="1" s="1"/>
  <c r="AI53" i="1" s="1"/>
  <c r="AL53" i="1" s="1"/>
  <c r="AO53" i="1" s="1"/>
  <c r="AR53" i="1" s="1"/>
  <c r="AU53" i="1" s="1"/>
  <c r="AX53" i="1" s="1"/>
  <c r="N54" i="1"/>
  <c r="Q54" i="1" s="1"/>
  <c r="T54" i="1" s="1"/>
  <c r="W54" i="1" s="1"/>
  <c r="Z54" i="1" s="1"/>
  <c r="AC54" i="1" s="1"/>
  <c r="AF54" i="1" s="1"/>
  <c r="AI54" i="1" s="1"/>
  <c r="AL54" i="1" s="1"/>
  <c r="AO54" i="1" s="1"/>
  <c r="AR54" i="1" s="1"/>
  <c r="AU54" i="1" s="1"/>
  <c r="AX54" i="1" s="1"/>
  <c r="N55" i="1"/>
  <c r="Q55" i="1" s="1"/>
  <c r="T55" i="1" s="1"/>
  <c r="W55" i="1" s="1"/>
  <c r="Z55" i="1" s="1"/>
  <c r="AC55" i="1" s="1"/>
  <c r="AF55" i="1" s="1"/>
  <c r="AI55" i="1" s="1"/>
  <c r="AL55" i="1" s="1"/>
  <c r="AO55" i="1" s="1"/>
  <c r="AR55" i="1" s="1"/>
  <c r="AU55" i="1" s="1"/>
  <c r="AX55" i="1" s="1"/>
  <c r="N56" i="1"/>
  <c r="Q56" i="1" s="1"/>
  <c r="T56" i="1" s="1"/>
  <c r="W56" i="1" s="1"/>
  <c r="Z56" i="1" s="1"/>
  <c r="AC56" i="1" s="1"/>
  <c r="AF56" i="1" s="1"/>
  <c r="AI56" i="1" s="1"/>
  <c r="AL56" i="1" s="1"/>
  <c r="AO56" i="1" s="1"/>
  <c r="AR56" i="1" s="1"/>
  <c r="AU56" i="1" s="1"/>
  <c r="AX56" i="1" s="1"/>
  <c r="N57" i="1"/>
  <c r="Q57" i="1" s="1"/>
  <c r="T57" i="1" s="1"/>
  <c r="W57" i="1" s="1"/>
  <c r="Z57" i="1" s="1"/>
  <c r="AC57" i="1" s="1"/>
  <c r="AF57" i="1" s="1"/>
  <c r="AI57" i="1" s="1"/>
  <c r="AL57" i="1" s="1"/>
  <c r="AO57" i="1" s="1"/>
  <c r="AR57" i="1" s="1"/>
  <c r="AU57" i="1" s="1"/>
  <c r="AX57" i="1" s="1"/>
  <c r="N58" i="1"/>
  <c r="Q58" i="1" s="1"/>
  <c r="T58" i="1" s="1"/>
  <c r="W58" i="1" s="1"/>
  <c r="Z58" i="1" s="1"/>
  <c r="AC58" i="1" s="1"/>
  <c r="AF58" i="1" s="1"/>
  <c r="AI58" i="1" s="1"/>
  <c r="AL58" i="1" s="1"/>
  <c r="AO58" i="1" s="1"/>
  <c r="AR58" i="1" s="1"/>
  <c r="AU58" i="1" s="1"/>
  <c r="AX58" i="1" s="1"/>
  <c r="N59" i="1"/>
  <c r="Q59" i="1" s="1"/>
  <c r="T59" i="1" s="1"/>
  <c r="W59" i="1" s="1"/>
  <c r="Z59" i="1" s="1"/>
  <c r="AC59" i="1" s="1"/>
  <c r="AF59" i="1" s="1"/>
  <c r="AI59" i="1" s="1"/>
  <c r="AL59" i="1" s="1"/>
  <c r="AO59" i="1" s="1"/>
  <c r="AR59" i="1" s="1"/>
  <c r="AU59" i="1" s="1"/>
  <c r="AX59" i="1" s="1"/>
  <c r="N60" i="1"/>
  <c r="Q60" i="1" s="1"/>
  <c r="T60" i="1" s="1"/>
  <c r="W60" i="1" s="1"/>
  <c r="Z60" i="1" s="1"/>
  <c r="AC60" i="1" s="1"/>
  <c r="AF60" i="1" s="1"/>
  <c r="AI60" i="1" s="1"/>
  <c r="AL60" i="1" s="1"/>
  <c r="AO60" i="1" s="1"/>
  <c r="AR60" i="1" s="1"/>
  <c r="AU60" i="1" s="1"/>
  <c r="AX60" i="1" s="1"/>
  <c r="N61" i="1"/>
  <c r="O60" i="1" l="1"/>
  <c r="R60" i="1" s="1"/>
  <c r="O44" i="1"/>
  <c r="R44" i="1" s="1"/>
  <c r="U44" i="1" s="1"/>
  <c r="G44" i="1"/>
  <c r="X44" i="1"/>
  <c r="G43" i="1"/>
  <c r="X43" i="1"/>
  <c r="Q47" i="1"/>
  <c r="T47" i="1" s="1"/>
  <c r="W47" i="1" s="1"/>
  <c r="Z47" i="1" s="1"/>
  <c r="AC47" i="1" s="1"/>
  <c r="AF47" i="1" s="1"/>
  <c r="AI47" i="1" s="1"/>
  <c r="AL47" i="1" s="1"/>
  <c r="AO47" i="1" s="1"/>
  <c r="AR47" i="1" s="1"/>
  <c r="AU47" i="1" s="1"/>
  <c r="AX47" i="1" s="1"/>
  <c r="O47" i="1"/>
  <c r="Q45" i="1"/>
  <c r="T45" i="1" s="1"/>
  <c r="W45" i="1" s="1"/>
  <c r="Z45" i="1" s="1"/>
  <c r="AC45" i="1" s="1"/>
  <c r="AF45" i="1" s="1"/>
  <c r="AI45" i="1" s="1"/>
  <c r="AL45" i="1" s="1"/>
  <c r="AO45" i="1" s="1"/>
  <c r="AR45" i="1" s="1"/>
  <c r="AU45" i="1" s="1"/>
  <c r="AX45" i="1" s="1"/>
  <c r="O45" i="1"/>
  <c r="Q41" i="1"/>
  <c r="T41" i="1" s="1"/>
  <c r="W41" i="1" s="1"/>
  <c r="Z41" i="1" s="1"/>
  <c r="AC41" i="1" s="1"/>
  <c r="AF41" i="1" s="1"/>
  <c r="AI41" i="1" s="1"/>
  <c r="AL41" i="1" s="1"/>
  <c r="AO41" i="1" s="1"/>
  <c r="AR41" i="1" s="1"/>
  <c r="AU41" i="1" s="1"/>
  <c r="AX41" i="1" s="1"/>
  <c r="O41" i="1"/>
  <c r="Q39" i="1"/>
  <c r="T39" i="1" s="1"/>
  <c r="W39" i="1" s="1"/>
  <c r="Z39" i="1" s="1"/>
  <c r="AC39" i="1" s="1"/>
  <c r="AF39" i="1" s="1"/>
  <c r="AI39" i="1" s="1"/>
  <c r="AL39" i="1" s="1"/>
  <c r="AO39" i="1" s="1"/>
  <c r="AR39" i="1" s="1"/>
  <c r="AU39" i="1" s="1"/>
  <c r="AX39" i="1" s="1"/>
  <c r="O39" i="1"/>
  <c r="Q37" i="1"/>
  <c r="T37" i="1" s="1"/>
  <c r="W37" i="1" s="1"/>
  <c r="Z37" i="1" s="1"/>
  <c r="AC37" i="1" s="1"/>
  <c r="AF37" i="1" s="1"/>
  <c r="AI37" i="1" s="1"/>
  <c r="AL37" i="1" s="1"/>
  <c r="AO37" i="1" s="1"/>
  <c r="AR37" i="1" s="1"/>
  <c r="AU37" i="1" s="1"/>
  <c r="AX37" i="1" s="1"/>
  <c r="O37" i="1"/>
  <c r="Q35" i="1"/>
  <c r="T35" i="1" s="1"/>
  <c r="W35" i="1" s="1"/>
  <c r="Z35" i="1" s="1"/>
  <c r="AC35" i="1" s="1"/>
  <c r="AF35" i="1" s="1"/>
  <c r="AI35" i="1" s="1"/>
  <c r="AL35" i="1" s="1"/>
  <c r="AO35" i="1" s="1"/>
  <c r="AR35" i="1" s="1"/>
  <c r="AU35" i="1" s="1"/>
  <c r="AX35" i="1" s="1"/>
  <c r="O35" i="1"/>
  <c r="Q33" i="1"/>
  <c r="T33" i="1" s="1"/>
  <c r="W33" i="1" s="1"/>
  <c r="Z33" i="1" s="1"/>
  <c r="AC33" i="1" s="1"/>
  <c r="AF33" i="1" s="1"/>
  <c r="AI33" i="1" s="1"/>
  <c r="AL33" i="1" s="1"/>
  <c r="AO33" i="1" s="1"/>
  <c r="AR33" i="1" s="1"/>
  <c r="AU33" i="1" s="1"/>
  <c r="AX33" i="1" s="1"/>
  <c r="O33" i="1"/>
  <c r="Q31" i="1"/>
  <c r="T31" i="1" s="1"/>
  <c r="W31" i="1" s="1"/>
  <c r="Z31" i="1" s="1"/>
  <c r="AC31" i="1" s="1"/>
  <c r="AF31" i="1" s="1"/>
  <c r="AI31" i="1" s="1"/>
  <c r="AL31" i="1" s="1"/>
  <c r="AO31" i="1" s="1"/>
  <c r="AR31" i="1" s="1"/>
  <c r="AU31" i="1" s="1"/>
  <c r="AX31" i="1" s="1"/>
  <c r="O31" i="1"/>
  <c r="Q29" i="1"/>
  <c r="T29" i="1" s="1"/>
  <c r="W29" i="1" s="1"/>
  <c r="Z29" i="1" s="1"/>
  <c r="AC29" i="1" s="1"/>
  <c r="AF29" i="1" s="1"/>
  <c r="AI29" i="1" s="1"/>
  <c r="AL29" i="1" s="1"/>
  <c r="AO29" i="1" s="1"/>
  <c r="AR29" i="1" s="1"/>
  <c r="AU29" i="1" s="1"/>
  <c r="AX29" i="1" s="1"/>
  <c r="O29" i="1"/>
  <c r="Q27" i="1"/>
  <c r="T27" i="1" s="1"/>
  <c r="W27" i="1" s="1"/>
  <c r="Z27" i="1" s="1"/>
  <c r="AC27" i="1" s="1"/>
  <c r="AF27" i="1" s="1"/>
  <c r="AI27" i="1" s="1"/>
  <c r="AL27" i="1" s="1"/>
  <c r="AO27" i="1" s="1"/>
  <c r="AR27" i="1" s="1"/>
  <c r="AU27" i="1" s="1"/>
  <c r="AX27" i="1" s="1"/>
  <c r="O27" i="1"/>
  <c r="Q23" i="1"/>
  <c r="T23" i="1" s="1"/>
  <c r="W23" i="1" s="1"/>
  <c r="Z23" i="1" s="1"/>
  <c r="AC23" i="1" s="1"/>
  <c r="AF23" i="1" s="1"/>
  <c r="AI23" i="1" s="1"/>
  <c r="AL23" i="1" s="1"/>
  <c r="AO23" i="1" s="1"/>
  <c r="AR23" i="1" s="1"/>
  <c r="AU23" i="1" s="1"/>
  <c r="AX23" i="1" s="1"/>
  <c r="O23" i="1"/>
  <c r="Q21" i="1"/>
  <c r="T21" i="1" s="1"/>
  <c r="W21" i="1" s="1"/>
  <c r="Z21" i="1" s="1"/>
  <c r="AC21" i="1" s="1"/>
  <c r="AF21" i="1" s="1"/>
  <c r="AI21" i="1" s="1"/>
  <c r="AL21" i="1" s="1"/>
  <c r="AO21" i="1" s="1"/>
  <c r="AR21" i="1" s="1"/>
  <c r="AU21" i="1" s="1"/>
  <c r="AX21" i="1" s="1"/>
  <c r="O21" i="1"/>
  <c r="Q19" i="1"/>
  <c r="T19" i="1" s="1"/>
  <c r="W19" i="1" s="1"/>
  <c r="Z19" i="1" s="1"/>
  <c r="AC19" i="1" s="1"/>
  <c r="AF19" i="1" s="1"/>
  <c r="AI19" i="1" s="1"/>
  <c r="AL19" i="1" s="1"/>
  <c r="AO19" i="1" s="1"/>
  <c r="AR19" i="1" s="1"/>
  <c r="AU19" i="1" s="1"/>
  <c r="AX19" i="1" s="1"/>
  <c r="O19" i="1"/>
  <c r="Q17" i="1"/>
  <c r="T17" i="1" s="1"/>
  <c r="W17" i="1" s="1"/>
  <c r="Z17" i="1" s="1"/>
  <c r="AC17" i="1" s="1"/>
  <c r="AF17" i="1" s="1"/>
  <c r="AI17" i="1" s="1"/>
  <c r="AL17" i="1" s="1"/>
  <c r="AO17" i="1" s="1"/>
  <c r="AR17" i="1" s="1"/>
  <c r="AU17" i="1" s="1"/>
  <c r="AX17" i="1" s="1"/>
  <c r="O17" i="1"/>
  <c r="Q15" i="1"/>
  <c r="T15" i="1" s="1"/>
  <c r="W15" i="1" s="1"/>
  <c r="Z15" i="1" s="1"/>
  <c r="AC15" i="1" s="1"/>
  <c r="AF15" i="1" s="1"/>
  <c r="AI15" i="1" s="1"/>
  <c r="AL15" i="1" s="1"/>
  <c r="AO15" i="1" s="1"/>
  <c r="AR15" i="1" s="1"/>
  <c r="AU15" i="1" s="1"/>
  <c r="AX15" i="1" s="1"/>
  <c r="O15" i="1"/>
  <c r="Q13" i="1"/>
  <c r="T13" i="1" s="1"/>
  <c r="W13" i="1" s="1"/>
  <c r="Z13" i="1" s="1"/>
  <c r="AC13" i="1" s="1"/>
  <c r="AF13" i="1" s="1"/>
  <c r="AI13" i="1" s="1"/>
  <c r="AL13" i="1" s="1"/>
  <c r="AO13" i="1" s="1"/>
  <c r="AR13" i="1" s="1"/>
  <c r="AU13" i="1" s="1"/>
  <c r="AX13" i="1" s="1"/>
  <c r="O13" i="1"/>
  <c r="O59" i="1"/>
  <c r="O57" i="1"/>
  <c r="O55" i="1"/>
  <c r="R55" i="1" s="1"/>
  <c r="U55" i="1" s="1"/>
  <c r="G55" i="1" s="1"/>
  <c r="O53" i="1"/>
  <c r="O51" i="1"/>
  <c r="R51" i="1" s="1"/>
  <c r="U51" i="1" s="1"/>
  <c r="G51" i="1" s="1"/>
  <c r="O58" i="1"/>
  <c r="O56" i="1"/>
  <c r="R56" i="1" s="1"/>
  <c r="U56" i="1" s="1"/>
  <c r="G56" i="1" s="1"/>
  <c r="O54" i="1"/>
  <c r="R53" i="1"/>
  <c r="O52" i="1"/>
  <c r="R52" i="1" s="1"/>
  <c r="U52" i="1" s="1"/>
  <c r="G52" i="1" s="1"/>
  <c r="O50" i="1"/>
  <c r="R50" i="1" s="1"/>
  <c r="AA44" i="1"/>
  <c r="AA43" i="1"/>
  <c r="O48" i="1"/>
  <c r="R48" i="1" s="1"/>
  <c r="O46" i="1"/>
  <c r="R46" i="1" s="1"/>
  <c r="U46" i="1" s="1"/>
  <c r="G46" i="1" s="1"/>
  <c r="O42" i="1"/>
  <c r="O40" i="1"/>
  <c r="R39" i="1"/>
  <c r="O38" i="1"/>
  <c r="O36" i="1"/>
  <c r="O34" i="1"/>
  <c r="R33" i="1"/>
  <c r="O32" i="1"/>
  <c r="R31" i="1"/>
  <c r="O30" i="1"/>
  <c r="O28" i="1"/>
  <c r="R28" i="1" s="1"/>
  <c r="U28" i="1" s="1"/>
  <c r="G28" i="1" s="1"/>
  <c r="O26" i="1"/>
  <c r="O24" i="1"/>
  <c r="O7" i="1"/>
  <c r="R7" i="1" s="1"/>
  <c r="U7" i="1" s="1"/>
  <c r="G7" i="1" s="1"/>
  <c r="O5" i="1"/>
  <c r="O22" i="1"/>
  <c r="O18" i="1"/>
  <c r="R15" i="1"/>
  <c r="U15" i="1" s="1"/>
  <c r="O14" i="1"/>
  <c r="R14" i="1" s="1"/>
  <c r="O12" i="1"/>
  <c r="R12" i="1" s="1"/>
  <c r="O10" i="1"/>
  <c r="R10" i="1" s="1"/>
  <c r="O9" i="1"/>
  <c r="R9" i="1" s="1"/>
  <c r="O8" i="1"/>
  <c r="Q49" i="1"/>
  <c r="T49" i="1" s="1"/>
  <c r="W49" i="1" s="1"/>
  <c r="Z49" i="1" s="1"/>
  <c r="AC49" i="1" s="1"/>
  <c r="AF49" i="1" s="1"/>
  <c r="AI49" i="1" s="1"/>
  <c r="AL49" i="1" s="1"/>
  <c r="AO49" i="1" s="1"/>
  <c r="AR49" i="1" s="1"/>
  <c r="AU49" i="1" s="1"/>
  <c r="AX49" i="1" s="1"/>
  <c r="O49" i="1"/>
  <c r="R54" i="1"/>
  <c r="R25" i="1"/>
  <c r="R24" i="1"/>
  <c r="R22" i="1"/>
  <c r="U22" i="1" s="1"/>
  <c r="G22" i="1" s="1"/>
  <c r="R18" i="1"/>
  <c r="U18" i="1" s="1"/>
  <c r="G18" i="1" s="1"/>
  <c r="O6" i="1"/>
  <c r="R21" i="1"/>
  <c r="O20" i="1"/>
  <c r="R17" i="1"/>
  <c r="O16" i="1"/>
  <c r="O11" i="1"/>
  <c r="R8" i="1"/>
  <c r="U8" i="1" s="1"/>
  <c r="G8" i="1" s="1"/>
  <c r="Q61" i="1"/>
  <c r="T61" i="1" s="1"/>
  <c r="W61" i="1" s="1"/>
  <c r="Z61" i="1" s="1"/>
  <c r="AC61" i="1" s="1"/>
  <c r="AF61" i="1" s="1"/>
  <c r="AI61" i="1" s="1"/>
  <c r="AL61" i="1" s="1"/>
  <c r="AO61" i="1" s="1"/>
  <c r="AR61" i="1" s="1"/>
  <c r="AU61" i="1" s="1"/>
  <c r="AX61" i="1" s="1"/>
  <c r="O61" i="1"/>
  <c r="R41" i="1" l="1"/>
  <c r="R23" i="1"/>
  <c r="R19" i="1"/>
  <c r="R29" i="1"/>
  <c r="U29" i="1" s="1"/>
  <c r="R37" i="1"/>
  <c r="R47" i="1"/>
  <c r="U53" i="1"/>
  <c r="AA53" i="1" s="1"/>
  <c r="R13" i="1"/>
  <c r="U13" i="1" s="1"/>
  <c r="G13" i="1" s="1"/>
  <c r="U31" i="1"/>
  <c r="G31" i="1" s="1"/>
  <c r="G53" i="1"/>
  <c r="X53" i="1"/>
  <c r="U60" i="1"/>
  <c r="X60" i="1" s="1"/>
  <c r="AA60" i="1" s="1"/>
  <c r="R59" i="1"/>
  <c r="U59" i="1" s="1"/>
  <c r="R5" i="1"/>
  <c r="U5" i="1" s="1"/>
  <c r="G5" i="1" s="1"/>
  <c r="X31" i="1"/>
  <c r="AA31" i="1" s="1"/>
  <c r="R27" i="1"/>
  <c r="R35" i="1"/>
  <c r="R45" i="1"/>
  <c r="U45" i="1" s="1"/>
  <c r="R57" i="1"/>
  <c r="U14" i="1"/>
  <c r="G14" i="1" s="1"/>
  <c r="U35" i="1"/>
  <c r="AD43" i="1"/>
  <c r="AD44" i="1"/>
  <c r="AG44" i="1" s="1"/>
  <c r="G15" i="1"/>
  <c r="X15" i="1"/>
  <c r="G45" i="1"/>
  <c r="X45" i="1"/>
  <c r="G35" i="1"/>
  <c r="U25" i="1"/>
  <c r="G25" i="1" s="1"/>
  <c r="R11" i="1"/>
  <c r="U11" i="1" s="1"/>
  <c r="G11" i="1" s="1"/>
  <c r="U12" i="1"/>
  <c r="X8" i="1"/>
  <c r="AA8" i="1" s="1"/>
  <c r="U10" i="1"/>
  <c r="R20" i="1"/>
  <c r="X22" i="1"/>
  <c r="R26" i="1"/>
  <c r="R34" i="1"/>
  <c r="R36" i="1"/>
  <c r="R42" i="1"/>
  <c r="R49" i="1"/>
  <c r="X46" i="1"/>
  <c r="AA15" i="1"/>
  <c r="AD15" i="1" s="1"/>
  <c r="AG15" i="1" s="1"/>
  <c r="U17" i="1"/>
  <c r="U21" i="1"/>
  <c r="G21" i="1" s="1"/>
  <c r="U37" i="1"/>
  <c r="U39" i="1"/>
  <c r="U41" i="1"/>
  <c r="U47" i="1"/>
  <c r="R58" i="1"/>
  <c r="G60" i="1"/>
  <c r="X10" i="1"/>
  <c r="U9" i="1"/>
  <c r="X9" i="1" s="1"/>
  <c r="AA9" i="1" s="1"/>
  <c r="U27" i="1"/>
  <c r="R32" i="1"/>
  <c r="R38" i="1"/>
  <c r="U48" i="1"/>
  <c r="U50" i="1"/>
  <c r="X51" i="1"/>
  <c r="U54" i="1"/>
  <c r="X55" i="1"/>
  <c r="X7" i="1"/>
  <c r="AA7" i="1" s="1"/>
  <c r="U20" i="1"/>
  <c r="G20" i="1" s="1"/>
  <c r="AA22" i="1"/>
  <c r="R6" i="1"/>
  <c r="R16" i="1"/>
  <c r="X18" i="1"/>
  <c r="U24" i="1"/>
  <c r="X25" i="1"/>
  <c r="X28" i="1"/>
  <c r="R30" i="1"/>
  <c r="U33" i="1"/>
  <c r="R40" i="1"/>
  <c r="AA46" i="1"/>
  <c r="AG43" i="1"/>
  <c r="X48" i="1"/>
  <c r="X52" i="1"/>
  <c r="X56" i="1"/>
  <c r="U19" i="1"/>
  <c r="U23" i="1"/>
  <c r="R61" i="1"/>
  <c r="U61" i="1" s="1"/>
  <c r="X61" i="1" s="1"/>
  <c r="AA61" i="1" s="1"/>
  <c r="AA10" i="1" l="1"/>
  <c r="AD10" i="1" s="1"/>
  <c r="G59" i="1"/>
  <c r="X59" i="1"/>
  <c r="X35" i="1"/>
  <c r="AA35" i="1" s="1"/>
  <c r="AD35" i="1" s="1"/>
  <c r="U57" i="1"/>
  <c r="AA45" i="1"/>
  <c r="AD45" i="1" s="1"/>
  <c r="X5" i="1"/>
  <c r="AA5" i="1" s="1"/>
  <c r="X21" i="1"/>
  <c r="AA21" i="1" s="1"/>
  <c r="X13" i="1"/>
  <c r="AA13" i="1" s="1"/>
  <c r="AA59" i="1"/>
  <c r="X11" i="1"/>
  <c r="X14" i="1"/>
  <c r="AA14" i="1" s="1"/>
  <c r="AD60" i="1"/>
  <c r="AG60" i="1" s="1"/>
  <c r="G23" i="1"/>
  <c r="X23" i="1"/>
  <c r="G19" i="1"/>
  <c r="X19" i="1"/>
  <c r="AA19" i="1" s="1"/>
  <c r="U30" i="1"/>
  <c r="G30" i="1" s="1"/>
  <c r="G54" i="1"/>
  <c r="G48" i="1"/>
  <c r="U32" i="1"/>
  <c r="X32" i="1" s="1"/>
  <c r="G9" i="1"/>
  <c r="AD9" i="1"/>
  <c r="G47" i="1"/>
  <c r="X47" i="1"/>
  <c r="G39" i="1"/>
  <c r="X39" i="1"/>
  <c r="G17" i="1"/>
  <c r="AD46" i="1"/>
  <c r="AG46" i="1" s="1"/>
  <c r="U42" i="1"/>
  <c r="U36" i="1"/>
  <c r="X36" i="1" s="1"/>
  <c r="G29" i="1"/>
  <c r="X29" i="1"/>
  <c r="U26" i="1"/>
  <c r="AD8" i="1"/>
  <c r="AA48" i="1"/>
  <c r="AD48" i="1" s="1"/>
  <c r="AA28" i="1"/>
  <c r="AD28" i="1" s="1"/>
  <c r="U6" i="1"/>
  <c r="G6" i="1" s="1"/>
  <c r="X20" i="1"/>
  <c r="AG8" i="1"/>
  <c r="AA20" i="1"/>
  <c r="AA55" i="1"/>
  <c r="AA51" i="1"/>
  <c r="AD51" i="1" s="1"/>
  <c r="AA56" i="1"/>
  <c r="AA52" i="1"/>
  <c r="X17" i="1"/>
  <c r="AG10" i="1"/>
  <c r="AJ10" i="1" s="1"/>
  <c r="AJ44" i="1"/>
  <c r="AM44" i="1" s="1"/>
  <c r="AP44" i="1" s="1"/>
  <c r="U40" i="1"/>
  <c r="G33" i="1"/>
  <c r="X33" i="1"/>
  <c r="AA33" i="1" s="1"/>
  <c r="G24" i="1"/>
  <c r="X24" i="1"/>
  <c r="AD7" i="1"/>
  <c r="AG7" i="1" s="1"/>
  <c r="AJ7" i="1" s="1"/>
  <c r="G50" i="1"/>
  <c r="U38" i="1"/>
  <c r="X38" i="1" s="1"/>
  <c r="G27" i="1"/>
  <c r="X27" i="1"/>
  <c r="AA27" i="1" s="1"/>
  <c r="U58" i="1"/>
  <c r="G41" i="1"/>
  <c r="X41" i="1"/>
  <c r="G37" i="1"/>
  <c r="X37" i="1"/>
  <c r="AA37" i="1" s="1"/>
  <c r="U49" i="1"/>
  <c r="U34" i="1"/>
  <c r="G10" i="1"/>
  <c r="G12" i="1"/>
  <c r="X12" i="1"/>
  <c r="AD31" i="1"/>
  <c r="AD22" i="1"/>
  <c r="AD21" i="1"/>
  <c r="AA11" i="1"/>
  <c r="AA23" i="1"/>
  <c r="X58" i="1"/>
  <c r="X54" i="1"/>
  <c r="X50" i="1"/>
  <c r="AD55" i="1"/>
  <c r="AD53" i="1"/>
  <c r="AA18" i="1"/>
  <c r="AD18" i="1" s="1"/>
  <c r="U16" i="1"/>
  <c r="G16" i="1" s="1"/>
  <c r="AA25" i="1"/>
  <c r="AA39" i="1"/>
  <c r="AJ43" i="1"/>
  <c r="AJ15" i="1"/>
  <c r="AD61" i="1"/>
  <c r="AD5" i="1" l="1"/>
  <c r="AG5" i="1" s="1"/>
  <c r="AJ5" i="1" s="1"/>
  <c r="AG28" i="1"/>
  <c r="AJ45" i="1"/>
  <c r="AM45" i="1" s="1"/>
  <c r="AG45" i="1"/>
  <c r="AD14" i="1"/>
  <c r="AG14" i="1" s="1"/>
  <c r="AJ14" i="1" s="1"/>
  <c r="AG35" i="1"/>
  <c r="AJ35" i="1" s="1"/>
  <c r="G57" i="1"/>
  <c r="X57" i="1"/>
  <c r="X30" i="1"/>
  <c r="AD59" i="1"/>
  <c r="AG59" i="1" s="1"/>
  <c r="AJ59" i="1" s="1"/>
  <c r="AD13" i="1"/>
  <c r="AG13" i="1" s="1"/>
  <c r="AJ13" i="1" s="1"/>
  <c r="AS44" i="1"/>
  <c r="AV44" i="1" s="1"/>
  <c r="AY44" i="1" s="1"/>
  <c r="AA12" i="1"/>
  <c r="G34" i="1"/>
  <c r="G49" i="1"/>
  <c r="G58" i="1"/>
  <c r="G40" i="1"/>
  <c r="AG51" i="1"/>
  <c r="AD20" i="1"/>
  <c r="AJ8" i="1"/>
  <c r="G26" i="1"/>
  <c r="G36" i="1"/>
  <c r="AA36" i="1"/>
  <c r="AD36" i="1" s="1"/>
  <c r="AG36" i="1" s="1"/>
  <c r="AJ46" i="1"/>
  <c r="AD39" i="1"/>
  <c r="AG39" i="1" s="1"/>
  <c r="AJ39" i="1" s="1"/>
  <c r="AA47" i="1"/>
  <c r="AD47" i="1" s="1"/>
  <c r="AD33" i="1"/>
  <c r="X34" i="1"/>
  <c r="AM7" i="1"/>
  <c r="AA24" i="1"/>
  <c r="AJ28" i="1"/>
  <c r="AG21" i="1"/>
  <c r="AG22" i="1"/>
  <c r="AD24" i="1"/>
  <c r="AD25" i="1"/>
  <c r="AG31" i="1"/>
  <c r="X40" i="1"/>
  <c r="X26" i="1"/>
  <c r="X42" i="1"/>
  <c r="AG9" i="1"/>
  <c r="AG48" i="1"/>
  <c r="AJ51" i="1"/>
  <c r="X6" i="1"/>
  <c r="AA6" i="1" s="1"/>
  <c r="AG18" i="1"/>
  <c r="AD52" i="1"/>
  <c r="AG52" i="1" s="1"/>
  <c r="AG53" i="1"/>
  <c r="AJ53" i="1" s="1"/>
  <c r="AM53" i="1" s="1"/>
  <c r="AP53" i="1" s="1"/>
  <c r="AS53" i="1" s="1"/>
  <c r="AV53" i="1" s="1"/>
  <c r="AY53" i="1" s="1"/>
  <c r="AD19" i="1"/>
  <c r="AJ60" i="1"/>
  <c r="AD37" i="1"/>
  <c r="AD27" i="1"/>
  <c r="G38" i="1"/>
  <c r="AA38" i="1"/>
  <c r="AD38" i="1" s="1"/>
  <c r="AA17" i="1"/>
  <c r="AG55" i="1"/>
  <c r="AJ55" i="1" s="1"/>
  <c r="G42" i="1"/>
  <c r="AA42" i="1"/>
  <c r="AD42" i="1" s="1"/>
  <c r="G32" i="1"/>
  <c r="AA32" i="1"/>
  <c r="AD32" i="1" s="1"/>
  <c r="AM43" i="1"/>
  <c r="AP43" i="1" s="1"/>
  <c r="AD23" i="1"/>
  <c r="AM13" i="1"/>
  <c r="X49" i="1"/>
  <c r="AA58" i="1"/>
  <c r="AG23" i="1"/>
  <c r="AG25" i="1"/>
  <c r="AJ25" i="1" s="1"/>
  <c r="AM10" i="1"/>
  <c r="AP10" i="1" s="1"/>
  <c r="AD11" i="1"/>
  <c r="AA50" i="1"/>
  <c r="AA54" i="1"/>
  <c r="AM15" i="1"/>
  <c r="AA30" i="1"/>
  <c r="AA40" i="1"/>
  <c r="AD40" i="1" s="1"/>
  <c r="AA29" i="1"/>
  <c r="AD17" i="1"/>
  <c r="X16" i="1"/>
  <c r="AD56" i="1"/>
  <c r="AA41" i="1"/>
  <c r="AG61" i="1"/>
  <c r="AG32" i="1" l="1"/>
  <c r="AA57" i="1"/>
  <c r="AD57" i="1" s="1"/>
  <c r="AS10" i="1"/>
  <c r="AV10" i="1" s="1"/>
  <c r="AY10" i="1" s="1"/>
  <c r="AJ32" i="1"/>
  <c r="AM39" i="1"/>
  <c r="AP39" i="1" s="1"/>
  <c r="AS39" i="1" s="1"/>
  <c r="AV39" i="1" s="1"/>
  <c r="AY39" i="1" s="1"/>
  <c r="AM55" i="1"/>
  <c r="AP55" i="1" s="1"/>
  <c r="AS55" i="1" s="1"/>
  <c r="AV55" i="1" s="1"/>
  <c r="AY55" i="1" s="1"/>
  <c r="BB53" i="1"/>
  <c r="BE53" i="1" s="1"/>
  <c r="BH53" i="1" s="1"/>
  <c r="CE53" i="1"/>
  <c r="CE44" i="1"/>
  <c r="BE44" i="1"/>
  <c r="BB44" i="1"/>
  <c r="BW44" i="1"/>
  <c r="BZ44" i="1" s="1"/>
  <c r="CC44" i="1"/>
  <c r="AP45" i="1"/>
  <c r="AS45" i="1" s="1"/>
  <c r="AV45" i="1" s="1"/>
  <c r="AY45" i="1" s="1"/>
  <c r="AG17" i="1"/>
  <c r="AM35" i="1"/>
  <c r="AP35" i="1" s="1"/>
  <c r="AJ48" i="1"/>
  <c r="AM48" i="1" s="1"/>
  <c r="AP48" i="1" s="1"/>
  <c r="AS48" i="1" s="1"/>
  <c r="AV48" i="1" s="1"/>
  <c r="AY48" i="1" s="1"/>
  <c r="CE48" i="1" s="1"/>
  <c r="AJ9" i="1"/>
  <c r="AM9" i="1" s="1"/>
  <c r="AP9" i="1" s="1"/>
  <c r="AS9" i="1" s="1"/>
  <c r="AV9" i="1" s="1"/>
  <c r="AY9" i="1" s="1"/>
  <c r="CE9" i="1" s="1"/>
  <c r="AJ31" i="1"/>
  <c r="AM31" i="1" s="1"/>
  <c r="AP31" i="1" s="1"/>
  <c r="AS31" i="1" s="1"/>
  <c r="AV31" i="1" s="1"/>
  <c r="AY31" i="1" s="1"/>
  <c r="AA16" i="1"/>
  <c r="AD16" i="1" s="1"/>
  <c r="AG16" i="1" s="1"/>
  <c r="AJ16" i="1" s="1"/>
  <c r="AM16" i="1" s="1"/>
  <c r="AP16" i="1" s="1"/>
  <c r="AS16" i="1" s="1"/>
  <c r="AP15" i="1"/>
  <c r="AS15" i="1" s="1"/>
  <c r="AV15" i="1" s="1"/>
  <c r="AY15" i="1" s="1"/>
  <c r="CE15" i="1" s="1"/>
  <c r="AD29" i="1"/>
  <c r="AG29" i="1" s="1"/>
  <c r="AJ29" i="1" s="1"/>
  <c r="AM29" i="1" s="1"/>
  <c r="AP29" i="1" s="1"/>
  <c r="AS29" i="1" s="1"/>
  <c r="AV29" i="1" s="1"/>
  <c r="AY29" i="1" s="1"/>
  <c r="AD50" i="1"/>
  <c r="AJ23" i="1"/>
  <c r="AG56" i="1"/>
  <c r="AJ56" i="1" s="1"/>
  <c r="AM56" i="1" s="1"/>
  <c r="AP56" i="1" s="1"/>
  <c r="AS56" i="1" s="1"/>
  <c r="AV56" i="1" s="1"/>
  <c r="AY56" i="1" s="1"/>
  <c r="CC53" i="1"/>
  <c r="AG40" i="1"/>
  <c r="AJ40" i="1"/>
  <c r="AM40" i="1" s="1"/>
  <c r="AP40" i="1" s="1"/>
  <c r="AG50" i="1"/>
  <c r="AJ50" i="1" s="1"/>
  <c r="AM50" i="1" s="1"/>
  <c r="AP50" i="1" s="1"/>
  <c r="AS50" i="1" s="1"/>
  <c r="AV50" i="1" s="1"/>
  <c r="AY50" i="1" s="1"/>
  <c r="AG38" i="1"/>
  <c r="AJ18" i="1"/>
  <c r="AD54" i="1"/>
  <c r="AS43" i="1"/>
  <c r="AV43" i="1" s="1"/>
  <c r="AY43" i="1" s="1"/>
  <c r="AP7" i="1"/>
  <c r="AS7" i="1" s="1"/>
  <c r="AV7" i="1" s="1"/>
  <c r="AY7" i="1" s="1"/>
  <c r="CE7" i="1" s="1"/>
  <c r="AD30" i="1"/>
  <c r="AM32" i="1"/>
  <c r="AP32" i="1"/>
  <c r="AS32" i="1" s="1"/>
  <c r="AV32" i="1" s="1"/>
  <c r="AY32" i="1" s="1"/>
  <c r="AM60" i="1"/>
  <c r="AG19" i="1"/>
  <c r="AJ52" i="1"/>
  <c r="AM52" i="1" s="1"/>
  <c r="AP52" i="1" s="1"/>
  <c r="AS52" i="1" s="1"/>
  <c r="AV52" i="1" s="1"/>
  <c r="AY52" i="1" s="1"/>
  <c r="AD6" i="1"/>
  <c r="AG6" i="1" s="1"/>
  <c r="AJ6" i="1" s="1"/>
  <c r="AM6" i="1" s="1"/>
  <c r="AP6" i="1" s="1"/>
  <c r="AS6" i="1" s="1"/>
  <c r="AV6" i="1" s="1"/>
  <c r="AY6" i="1" s="1"/>
  <c r="AM28" i="1"/>
  <c r="AP28" i="1" s="1"/>
  <c r="AG33" i="1"/>
  <c r="AG47" i="1"/>
  <c r="AM46" i="1"/>
  <c r="AM8" i="1"/>
  <c r="AP8" i="1" s="1"/>
  <c r="AS8" i="1" s="1"/>
  <c r="AV8" i="1" s="1"/>
  <c r="AY8" i="1" s="1"/>
  <c r="AG20" i="1"/>
  <c r="AJ20" i="1" s="1"/>
  <c r="AM20" i="1" s="1"/>
  <c r="AP20" i="1" s="1"/>
  <c r="AS20" i="1" s="1"/>
  <c r="AV20" i="1" s="1"/>
  <c r="AY20" i="1" s="1"/>
  <c r="AM14" i="1"/>
  <c r="AP14" i="1" s="1"/>
  <c r="AS14" i="1" s="1"/>
  <c r="AV14" i="1" s="1"/>
  <c r="AY14" i="1" s="1"/>
  <c r="AG11" i="1"/>
  <c r="AJ11" i="1" s="1"/>
  <c r="AM11" i="1" s="1"/>
  <c r="AP11" i="1" s="1"/>
  <c r="AS11" i="1" s="1"/>
  <c r="AV11" i="1" s="1"/>
  <c r="AY11" i="1" s="1"/>
  <c r="AM5" i="1"/>
  <c r="AJ17" i="1"/>
  <c r="AD41" i="1"/>
  <c r="AG41" i="1" s="1"/>
  <c r="AJ41" i="1" s="1"/>
  <c r="AM41" i="1" s="1"/>
  <c r="AP41" i="1" s="1"/>
  <c r="AS41" i="1" s="1"/>
  <c r="AG37" i="1"/>
  <c r="AJ37" i="1" s="1"/>
  <c r="AM37" i="1" s="1"/>
  <c r="AP37" i="1" s="1"/>
  <c r="BK53" i="1"/>
  <c r="BN53" i="1" s="1"/>
  <c r="BQ53" i="1" s="1"/>
  <c r="BT53" i="1" s="1"/>
  <c r="BW53" i="1" s="1"/>
  <c r="BZ53" i="1" s="1"/>
  <c r="AG54" i="1"/>
  <c r="AJ54" i="1" s="1"/>
  <c r="AM54" i="1" s="1"/>
  <c r="AP54" i="1" s="1"/>
  <c r="AS54" i="1" s="1"/>
  <c r="AV54" i="1" s="1"/>
  <c r="AY54" i="1" s="1"/>
  <c r="CE54" i="1" s="1"/>
  <c r="AG42" i="1"/>
  <c r="AJ21" i="1"/>
  <c r="AM25" i="1"/>
  <c r="AP25" i="1" s="1"/>
  <c r="AS25" i="1" s="1"/>
  <c r="AG27" i="1"/>
  <c r="AJ36" i="1"/>
  <c r="AA26" i="1"/>
  <c r="AM51" i="1"/>
  <c r="AM59" i="1"/>
  <c r="AP59" i="1" s="1"/>
  <c r="AS59" i="1" s="1"/>
  <c r="AV59" i="1" s="1"/>
  <c r="AY59" i="1" s="1"/>
  <c r="CE59" i="1" s="1"/>
  <c r="BH44" i="1"/>
  <c r="BK44" i="1" s="1"/>
  <c r="BN44" i="1" s="1"/>
  <c r="BQ44" i="1" s="1"/>
  <c r="BT44" i="1" s="1"/>
  <c r="AG24" i="1"/>
  <c r="AJ24" i="1" s="1"/>
  <c r="AM24" i="1" s="1"/>
  <c r="AP24" i="1" s="1"/>
  <c r="AS24" i="1" s="1"/>
  <c r="AD58" i="1"/>
  <c r="AA49" i="1"/>
  <c r="AA34" i="1"/>
  <c r="AD34" i="1" s="1"/>
  <c r="AD12" i="1"/>
  <c r="AJ22" i="1"/>
  <c r="AM22" i="1" s="1"/>
  <c r="AP22" i="1" s="1"/>
  <c r="AS22" i="1" s="1"/>
  <c r="AV22" i="1" s="1"/>
  <c r="AY22" i="1" s="1"/>
  <c r="AP13" i="1"/>
  <c r="AS13" i="1" s="1"/>
  <c r="AV13" i="1" s="1"/>
  <c r="AY13" i="1" s="1"/>
  <c r="AJ61" i="1"/>
  <c r="AG57" i="1" l="1"/>
  <c r="AJ57" i="1" s="1"/>
  <c r="AM57" i="1" s="1"/>
  <c r="AP57" i="1" s="1"/>
  <c r="AS57" i="1" s="1"/>
  <c r="AV57" i="1" s="1"/>
  <c r="AY57" i="1" s="1"/>
  <c r="CE57" i="1" s="1"/>
  <c r="BT15" i="1"/>
  <c r="BW15" i="1" s="1"/>
  <c r="BZ15" i="1" s="1"/>
  <c r="CC15" i="1" s="1"/>
  <c r="AV25" i="1"/>
  <c r="AY25" i="1" s="1"/>
  <c r="BN25" i="1" s="1"/>
  <c r="BQ25" i="1" s="1"/>
  <c r="BT25" i="1" s="1"/>
  <c r="BW25" i="1" s="1"/>
  <c r="BZ25" i="1" s="1"/>
  <c r="CC25" i="1" s="1"/>
  <c r="BN15" i="1"/>
  <c r="BQ15" i="1" s="1"/>
  <c r="BB15" i="1"/>
  <c r="BE15" i="1" s="1"/>
  <c r="BH15" i="1" s="1"/>
  <c r="BK15" i="1" s="1"/>
  <c r="BB10" i="1"/>
  <c r="BE10" i="1"/>
  <c r="BH10" i="1" s="1"/>
  <c r="CC10" i="1"/>
  <c r="AV16" i="1"/>
  <c r="AY16" i="1" s="1"/>
  <c r="CE10" i="1"/>
  <c r="BK10" i="1"/>
  <c r="BN10" i="1" s="1"/>
  <c r="BQ10" i="1" s="1"/>
  <c r="BT10" i="1" s="1"/>
  <c r="BW10" i="1" s="1"/>
  <c r="BZ10" i="1" s="1"/>
  <c r="AS35" i="1"/>
  <c r="AV35" i="1" s="1"/>
  <c r="AY35" i="1" s="1"/>
  <c r="AS28" i="1"/>
  <c r="AV28" i="1" s="1"/>
  <c r="AY28" i="1" s="1"/>
  <c r="CE22" i="1"/>
  <c r="BB22" i="1"/>
  <c r="BE22" i="1" s="1"/>
  <c r="BH22" i="1" s="1"/>
  <c r="BK22" i="1" s="1"/>
  <c r="BN22" i="1" s="1"/>
  <c r="BQ22" i="1" s="1"/>
  <c r="BT22" i="1" s="1"/>
  <c r="BW22" i="1" s="1"/>
  <c r="BZ22" i="1" s="1"/>
  <c r="CC22" i="1" s="1"/>
  <c r="BB16" i="1"/>
  <c r="BE16" i="1" s="1"/>
  <c r="BH16" i="1" s="1"/>
  <c r="BK16" i="1" s="1"/>
  <c r="BN16" i="1" s="1"/>
  <c r="BQ16" i="1" s="1"/>
  <c r="BT16" i="1" s="1"/>
  <c r="BW16" i="1" s="1"/>
  <c r="BZ16" i="1" s="1"/>
  <c r="CC16" i="1" s="1"/>
  <c r="BB11" i="1"/>
  <c r="BE11" i="1" s="1"/>
  <c r="BH11" i="1" s="1"/>
  <c r="BK11" i="1" s="1"/>
  <c r="BN11" i="1" s="1"/>
  <c r="BQ11" i="1" s="1"/>
  <c r="BT11" i="1" s="1"/>
  <c r="BW11" i="1" s="1"/>
  <c r="BZ11" i="1" s="1"/>
  <c r="CC11" i="1" s="1"/>
  <c r="CE11" i="1"/>
  <c r="CE20" i="1"/>
  <c r="BB20" i="1"/>
  <c r="BE20" i="1" s="1"/>
  <c r="BH20" i="1" s="1"/>
  <c r="BK20" i="1" s="1"/>
  <c r="CE8" i="1"/>
  <c r="BB8" i="1"/>
  <c r="BE8" i="1" s="1"/>
  <c r="BH8" i="1" s="1"/>
  <c r="BK8" i="1" s="1"/>
  <c r="BN8" i="1" s="1"/>
  <c r="BQ8" i="1" s="1"/>
  <c r="CE52" i="1"/>
  <c r="BB52" i="1"/>
  <c r="BE52" i="1" s="1"/>
  <c r="BH52" i="1" s="1"/>
  <c r="BK52" i="1" s="1"/>
  <c r="BN52" i="1" s="1"/>
  <c r="BQ52" i="1" s="1"/>
  <c r="BT52" i="1" s="1"/>
  <c r="BW52" i="1" s="1"/>
  <c r="BZ52" i="1" s="1"/>
  <c r="CC52" i="1" s="1"/>
  <c r="CE35" i="1"/>
  <c r="BB35" i="1"/>
  <c r="BE35" i="1" s="1"/>
  <c r="BH35" i="1" s="1"/>
  <c r="BK35" i="1" s="1"/>
  <c r="BN35" i="1" s="1"/>
  <c r="BQ35" i="1" s="1"/>
  <c r="BT35" i="1" s="1"/>
  <c r="BW35" i="1" s="1"/>
  <c r="BZ35" i="1" s="1"/>
  <c r="CC35" i="1" s="1"/>
  <c r="CE50" i="1"/>
  <c r="BB50" i="1"/>
  <c r="BE50" i="1" s="1"/>
  <c r="BH50" i="1" s="1"/>
  <c r="BK50" i="1" s="1"/>
  <c r="BN50" i="1" s="1"/>
  <c r="BQ50" i="1" s="1"/>
  <c r="BT50" i="1" s="1"/>
  <c r="BW50" i="1" s="1"/>
  <c r="BZ50" i="1" s="1"/>
  <c r="CC50" i="1" s="1"/>
  <c r="CE56" i="1"/>
  <c r="BB56" i="1"/>
  <c r="BE56" i="1" s="1"/>
  <c r="BH56" i="1" s="1"/>
  <c r="BK56" i="1" s="1"/>
  <c r="BN56" i="1" s="1"/>
  <c r="BQ56" i="1" s="1"/>
  <c r="BT56" i="1" s="1"/>
  <c r="BW56" i="1" s="1"/>
  <c r="BZ56" i="1" s="1"/>
  <c r="CC56" i="1" s="1"/>
  <c r="CE31" i="1"/>
  <c r="BB31" i="1"/>
  <c r="BE31" i="1" s="1"/>
  <c r="BH31" i="1" s="1"/>
  <c r="BK31" i="1" s="1"/>
  <c r="BN31" i="1" s="1"/>
  <c r="BQ31" i="1" s="1"/>
  <c r="BT31" i="1" s="1"/>
  <c r="BW31" i="1" s="1"/>
  <c r="BZ31" i="1" s="1"/>
  <c r="CC31" i="1" s="1"/>
  <c r="CE45" i="1"/>
  <c r="BB45" i="1"/>
  <c r="BE45" i="1" s="1"/>
  <c r="BH45" i="1" s="1"/>
  <c r="BK45" i="1" s="1"/>
  <c r="BN45" i="1" s="1"/>
  <c r="BQ45" i="1" s="1"/>
  <c r="BT45" i="1" s="1"/>
  <c r="BW45" i="1" s="1"/>
  <c r="BZ45" i="1" s="1"/>
  <c r="CC45" i="1" s="1"/>
  <c r="CE55" i="1"/>
  <c r="BB55" i="1"/>
  <c r="BE55" i="1" s="1"/>
  <c r="BH55" i="1" s="1"/>
  <c r="BK55" i="1" s="1"/>
  <c r="BN55" i="1" s="1"/>
  <c r="BQ55" i="1" s="1"/>
  <c r="BT55" i="1" s="1"/>
  <c r="BW55" i="1" s="1"/>
  <c r="BZ55" i="1" s="1"/>
  <c r="CC55" i="1" s="1"/>
  <c r="CE13" i="1"/>
  <c r="BB13" i="1"/>
  <c r="BE13" i="1" s="1"/>
  <c r="BH13" i="1" s="1"/>
  <c r="BK13" i="1" s="1"/>
  <c r="BN13" i="1" s="1"/>
  <c r="BQ13" i="1" s="1"/>
  <c r="BT13" i="1" s="1"/>
  <c r="BW13" i="1" s="1"/>
  <c r="BZ13" i="1" s="1"/>
  <c r="CC13" i="1" s="1"/>
  <c r="CE14" i="1"/>
  <c r="BB14" i="1"/>
  <c r="BE14" i="1" s="1"/>
  <c r="BH14" i="1" s="1"/>
  <c r="BK14" i="1" s="1"/>
  <c r="BN14" i="1" s="1"/>
  <c r="BQ14" i="1" s="1"/>
  <c r="CE6" i="1"/>
  <c r="BB6" i="1"/>
  <c r="BE6" i="1" s="1"/>
  <c r="BH6" i="1" s="1"/>
  <c r="BK6" i="1" s="1"/>
  <c r="BN6" i="1" s="1"/>
  <c r="BQ6" i="1" s="1"/>
  <c r="BT6" i="1" s="1"/>
  <c r="BW6" i="1" s="1"/>
  <c r="BZ6" i="1" s="1"/>
  <c r="CC6" i="1" s="1"/>
  <c r="CE32" i="1"/>
  <c r="BB32" i="1"/>
  <c r="BE32" i="1" s="1"/>
  <c r="BH32" i="1" s="1"/>
  <c r="BK32" i="1" s="1"/>
  <c r="BN32" i="1" s="1"/>
  <c r="BQ32" i="1" s="1"/>
  <c r="BT32" i="1" s="1"/>
  <c r="BW32" i="1" s="1"/>
  <c r="BZ32" i="1" s="1"/>
  <c r="CC32" i="1" s="1"/>
  <c r="BB29" i="1"/>
  <c r="BE29" i="1" s="1"/>
  <c r="BH29" i="1" s="1"/>
  <c r="BK29" i="1" s="1"/>
  <c r="BN29" i="1" s="1"/>
  <c r="BQ29" i="1" s="1"/>
  <c r="CE29" i="1"/>
  <c r="BB39" i="1"/>
  <c r="BE39" i="1" s="1"/>
  <c r="BH39" i="1" s="1"/>
  <c r="BK39" i="1" s="1"/>
  <c r="BN39" i="1" s="1"/>
  <c r="BQ39" i="1" s="1"/>
  <c r="BT39" i="1" s="1"/>
  <c r="BW39" i="1" s="1"/>
  <c r="BZ39" i="1" s="1"/>
  <c r="CC39" i="1" s="1"/>
  <c r="CE39" i="1"/>
  <c r="CC9" i="1"/>
  <c r="CE43" i="1"/>
  <c r="BB43" i="1"/>
  <c r="BE43" i="1" s="1"/>
  <c r="BH43" i="1" s="1"/>
  <c r="BK43" i="1" s="1"/>
  <c r="BN43" i="1" s="1"/>
  <c r="BQ43" i="1" s="1"/>
  <c r="BT43" i="1" s="1"/>
  <c r="BW43" i="1" s="1"/>
  <c r="BZ43" i="1" s="1"/>
  <c r="CC43" i="1" s="1"/>
  <c r="AP60" i="1"/>
  <c r="AS60" i="1" s="1"/>
  <c r="AG30" i="1"/>
  <c r="AJ30" i="1" s="1"/>
  <c r="AM30" i="1" s="1"/>
  <c r="AP30" i="1" s="1"/>
  <c r="AM18" i="1"/>
  <c r="AP18" i="1" s="1"/>
  <c r="AS18" i="1" s="1"/>
  <c r="AV18" i="1" s="1"/>
  <c r="AY18" i="1" s="1"/>
  <c r="CE18" i="1" s="1"/>
  <c r="AM23" i="1"/>
  <c r="AP23" i="1" s="1"/>
  <c r="AS23" i="1" s="1"/>
  <c r="AV23" i="1" s="1"/>
  <c r="AY23" i="1" s="1"/>
  <c r="BZ48" i="1"/>
  <c r="CC48" i="1" s="1"/>
  <c r="BB48" i="1"/>
  <c r="BE48" i="1" s="1"/>
  <c r="BH48" i="1" s="1"/>
  <c r="BK48" i="1" s="1"/>
  <c r="BN48" i="1" s="1"/>
  <c r="BQ48" i="1" s="1"/>
  <c r="BT48" i="1" s="1"/>
  <c r="BW48" i="1" s="1"/>
  <c r="BT14" i="1"/>
  <c r="BW14" i="1" s="1"/>
  <c r="BZ14" i="1" s="1"/>
  <c r="CC14" i="1" s="1"/>
  <c r="AV24" i="1"/>
  <c r="AY24" i="1" s="1"/>
  <c r="AV41" i="1"/>
  <c r="AY41" i="1" s="1"/>
  <c r="AJ38" i="1"/>
  <c r="AM38" i="1" s="1"/>
  <c r="AP38" i="1" s="1"/>
  <c r="AS38" i="1" s="1"/>
  <c r="AV38" i="1" s="1"/>
  <c r="AY38" i="1" s="1"/>
  <c r="CE38" i="1" s="1"/>
  <c r="BB9" i="1"/>
  <c r="BE9" i="1" s="1"/>
  <c r="BH9" i="1" s="1"/>
  <c r="BK9" i="1" s="1"/>
  <c r="BN9" i="1" s="1"/>
  <c r="BQ9" i="1" s="1"/>
  <c r="BT9" i="1" s="1"/>
  <c r="BW9" i="1" s="1"/>
  <c r="BZ9" i="1" s="1"/>
  <c r="BT29" i="1"/>
  <c r="BW29" i="1" s="1"/>
  <c r="BZ29" i="1" s="1"/>
  <c r="CC29" i="1" s="1"/>
  <c r="AG12" i="1"/>
  <c r="AJ12" i="1"/>
  <c r="AM12" i="1" s="1"/>
  <c r="AP12" i="1" s="1"/>
  <c r="AS12" i="1" s="1"/>
  <c r="AG34" i="1"/>
  <c r="AJ34" i="1" s="1"/>
  <c r="AM34" i="1" s="1"/>
  <c r="AP34" i="1" s="1"/>
  <c r="AG58" i="1"/>
  <c r="AJ27" i="1"/>
  <c r="AM27" i="1" s="1"/>
  <c r="AP27" i="1" s="1"/>
  <c r="AS27" i="1" s="1"/>
  <c r="AV27" i="1" s="1"/>
  <c r="AY27" i="1" s="1"/>
  <c r="AJ42" i="1"/>
  <c r="AM42" i="1" s="1"/>
  <c r="AP42" i="1" s="1"/>
  <c r="AS42" i="1" s="1"/>
  <c r="AS37" i="1"/>
  <c r="AV37" i="1" s="1"/>
  <c r="AY37" i="1" s="1"/>
  <c r="BZ8" i="1"/>
  <c r="CC8" i="1" s="1"/>
  <c r="BT8" i="1"/>
  <c r="BW8" i="1" s="1"/>
  <c r="AJ33" i="1"/>
  <c r="AM33" i="1" s="1"/>
  <c r="AP33" i="1" s="1"/>
  <c r="AS33" i="1" s="1"/>
  <c r="AV33" i="1" s="1"/>
  <c r="AY33" i="1" s="1"/>
  <c r="AJ19" i="1"/>
  <c r="AM19" i="1" s="1"/>
  <c r="AP19" i="1" s="1"/>
  <c r="AS19" i="1" s="1"/>
  <c r="AV19" i="1" s="1"/>
  <c r="AY19" i="1" s="1"/>
  <c r="AD49" i="1"/>
  <c r="AG49" i="1" s="1"/>
  <c r="AJ49" i="1" s="1"/>
  <c r="AM49" i="1" s="1"/>
  <c r="AP49" i="1" s="1"/>
  <c r="AS49" i="1" s="1"/>
  <c r="AV49" i="1" s="1"/>
  <c r="AY49" i="1" s="1"/>
  <c r="BB59" i="1"/>
  <c r="BE59" i="1" s="1"/>
  <c r="BH59" i="1" s="1"/>
  <c r="AP51" i="1"/>
  <c r="AS51" i="1" s="1"/>
  <c r="AV51" i="1" s="1"/>
  <c r="AY51" i="1" s="1"/>
  <c r="AD26" i="1"/>
  <c r="AG26" i="1" s="1"/>
  <c r="AJ26" i="1" s="1"/>
  <c r="AM26" i="1" s="1"/>
  <c r="AP26" i="1" s="1"/>
  <c r="AS26" i="1" s="1"/>
  <c r="AV26" i="1" s="1"/>
  <c r="AY26" i="1" s="1"/>
  <c r="BN20" i="1"/>
  <c r="BQ20" i="1" s="1"/>
  <c r="BT20" i="1" s="1"/>
  <c r="BW20" i="1" s="1"/>
  <c r="BZ20" i="1" s="1"/>
  <c r="CC20" i="1" s="1"/>
  <c r="AM36" i="1"/>
  <c r="AP36" i="1" s="1"/>
  <c r="AS36" i="1" s="1"/>
  <c r="AV36" i="1" s="1"/>
  <c r="AY36" i="1" s="1"/>
  <c r="AP46" i="1"/>
  <c r="AS46" i="1" s="1"/>
  <c r="AV46" i="1" s="1"/>
  <c r="AY46" i="1" s="1"/>
  <c r="CE46" i="1" s="1"/>
  <c r="AJ47" i="1"/>
  <c r="AS40" i="1"/>
  <c r="AV40" i="1" s="1"/>
  <c r="AY40" i="1" s="1"/>
  <c r="CE40" i="1" s="1"/>
  <c r="BH41" i="1"/>
  <c r="BK41" i="1" s="1"/>
  <c r="BN41" i="1" s="1"/>
  <c r="BQ41" i="1" s="1"/>
  <c r="BT41" i="1" s="1"/>
  <c r="BW41" i="1"/>
  <c r="BZ41" i="1" s="1"/>
  <c r="CC41" i="1" s="1"/>
  <c r="BB54" i="1"/>
  <c r="BE54" i="1" s="1"/>
  <c r="BH54" i="1" s="1"/>
  <c r="BK54" i="1" s="1"/>
  <c r="BN54" i="1" s="1"/>
  <c r="BQ54" i="1" s="1"/>
  <c r="BT54" i="1" s="1"/>
  <c r="BW54" i="1" s="1"/>
  <c r="BZ54" i="1" s="1"/>
  <c r="CC54" i="1" s="1"/>
  <c r="AM17" i="1"/>
  <c r="AP17" i="1" s="1"/>
  <c r="AS17" i="1" s="1"/>
  <c r="AV17" i="1" s="1"/>
  <c r="AY17" i="1" s="1"/>
  <c r="AP5" i="1"/>
  <c r="AS5" i="1" s="1"/>
  <c r="AV5" i="1" s="1"/>
  <c r="AY5" i="1" s="1"/>
  <c r="CE5" i="1" s="1"/>
  <c r="BK59" i="1"/>
  <c r="BN59" i="1" s="1"/>
  <c r="BQ59" i="1" s="1"/>
  <c r="BT59" i="1" s="1"/>
  <c r="BW59" i="1" s="1"/>
  <c r="BZ59" i="1" s="1"/>
  <c r="CC59" i="1" s="1"/>
  <c r="AM21" i="1"/>
  <c r="AP21" i="1" s="1"/>
  <c r="AS21" i="1" s="1"/>
  <c r="AV21" i="1" s="1"/>
  <c r="BB7" i="1"/>
  <c r="BE7" i="1" s="1"/>
  <c r="BH7" i="1" s="1"/>
  <c r="BK7" i="1" s="1"/>
  <c r="BN7" i="1" s="1"/>
  <c r="BQ7" i="1" s="1"/>
  <c r="BT7" i="1" s="1"/>
  <c r="BW7" i="1" s="1"/>
  <c r="BZ7" i="1" s="1"/>
  <c r="CC7" i="1" s="1"/>
  <c r="AM61" i="1"/>
  <c r="CE28" i="1" l="1"/>
  <c r="BB57" i="1"/>
  <c r="BE57" i="1" s="1"/>
  <c r="BH57" i="1" s="1"/>
  <c r="BK57" i="1" s="1"/>
  <c r="BN57" i="1" s="1"/>
  <c r="BQ57" i="1" s="1"/>
  <c r="BT57" i="1" s="1"/>
  <c r="BW57" i="1" s="1"/>
  <c r="BZ57" i="1" s="1"/>
  <c r="CC57" i="1" s="1"/>
  <c r="BB46" i="1"/>
  <c r="BE46" i="1" s="1"/>
  <c r="BH46" i="1" s="1"/>
  <c r="BK46" i="1" s="1"/>
  <c r="BN46" i="1" s="1"/>
  <c r="BQ46" i="1" s="1"/>
  <c r="BZ46" i="1"/>
  <c r="CC46" i="1" s="1"/>
  <c r="BT46" i="1"/>
  <c r="BW46" i="1" s="1"/>
  <c r="AV12" i="1"/>
  <c r="BB28" i="1"/>
  <c r="BE28" i="1" s="1"/>
  <c r="BH28" i="1" s="1"/>
  <c r="BK28" i="1" s="1"/>
  <c r="BN28" i="1" s="1"/>
  <c r="BQ28" i="1" s="1"/>
  <c r="BT28" i="1" s="1"/>
  <c r="BW28" i="1" s="1"/>
  <c r="BZ28" i="1" s="1"/>
  <c r="CC28" i="1" s="1"/>
  <c r="AV60" i="1"/>
  <c r="CE16" i="1"/>
  <c r="BN37" i="1"/>
  <c r="BQ37" i="1" s="1"/>
  <c r="BT37" i="1" s="1"/>
  <c r="BW37" i="1" s="1"/>
  <c r="BZ37" i="1" s="1"/>
  <c r="CC37" i="1" s="1"/>
  <c r="BE37" i="1"/>
  <c r="BH37" i="1" s="1"/>
  <c r="BK37" i="1" s="1"/>
  <c r="AV42" i="1"/>
  <c r="AY42" i="1" s="1"/>
  <c r="AS34" i="1"/>
  <c r="AV34" i="1" s="1"/>
  <c r="BN40" i="1"/>
  <c r="BQ40" i="1" s="1"/>
  <c r="BT40" i="1" s="1"/>
  <c r="BW40" i="1" s="1"/>
  <c r="BZ40" i="1" s="1"/>
  <c r="CC40" i="1" s="1"/>
  <c r="BQ23" i="1"/>
  <c r="BT23" i="1" s="1"/>
  <c r="BW23" i="1" s="1"/>
  <c r="BZ23" i="1" s="1"/>
  <c r="CC23" i="1" s="1"/>
  <c r="BB18" i="1"/>
  <c r="BE18" i="1" s="1"/>
  <c r="BH18" i="1" s="1"/>
  <c r="BK18" i="1" s="1"/>
  <c r="BN18" i="1" s="1"/>
  <c r="BQ18" i="1" s="1"/>
  <c r="BT18" i="1" s="1"/>
  <c r="BW18" i="1" s="1"/>
  <c r="BZ18" i="1"/>
  <c r="CC18" i="1" s="1"/>
  <c r="AS30" i="1"/>
  <c r="AV30" i="1" s="1"/>
  <c r="AY30" i="1" s="1"/>
  <c r="CE17" i="1"/>
  <c r="BB17" i="1"/>
  <c r="BE17" i="1" s="1"/>
  <c r="BH17" i="1" s="1"/>
  <c r="BK17" i="1" s="1"/>
  <c r="BN17" i="1" s="1"/>
  <c r="BQ17" i="1" s="1"/>
  <c r="BT17" i="1" s="1"/>
  <c r="BW17" i="1" s="1"/>
  <c r="BZ17" i="1" s="1"/>
  <c r="CC17" i="1" s="1"/>
  <c r="CE49" i="1"/>
  <c r="BB49" i="1"/>
  <c r="BE49" i="1" s="1"/>
  <c r="BH49" i="1" s="1"/>
  <c r="BK49" i="1" s="1"/>
  <c r="BN49" i="1" s="1"/>
  <c r="BQ49" i="1" s="1"/>
  <c r="BT49" i="1" s="1"/>
  <c r="BW49" i="1" s="1"/>
  <c r="BZ49" i="1" s="1"/>
  <c r="CC49" i="1" s="1"/>
  <c r="CE19" i="1"/>
  <c r="BB19" i="1"/>
  <c r="BE19" i="1" s="1"/>
  <c r="BH19" i="1" s="1"/>
  <c r="BK19" i="1" s="1"/>
  <c r="BN19" i="1" s="1"/>
  <c r="BQ19" i="1" s="1"/>
  <c r="BT19" i="1" s="1"/>
  <c r="BW19" i="1" s="1"/>
  <c r="BZ19" i="1" s="1"/>
  <c r="CC19" i="1" s="1"/>
  <c r="BB42" i="1"/>
  <c r="BE42" i="1" s="1"/>
  <c r="BH42" i="1" s="1"/>
  <c r="BK42" i="1" s="1"/>
  <c r="BN42" i="1" s="1"/>
  <c r="BQ42" i="1" s="1"/>
  <c r="BT42" i="1" s="1"/>
  <c r="BW42" i="1" s="1"/>
  <c r="BZ42" i="1" s="1"/>
  <c r="CC42" i="1" s="1"/>
  <c r="CE27" i="1"/>
  <c r="BB27" i="1"/>
  <c r="BE27" i="1" s="1"/>
  <c r="BH27" i="1" s="1"/>
  <c r="BK27" i="1" s="1"/>
  <c r="BN27" i="1" s="1"/>
  <c r="BQ27" i="1" s="1"/>
  <c r="BT27" i="1" s="1"/>
  <c r="BW27" i="1" s="1"/>
  <c r="BZ27" i="1" s="1"/>
  <c r="CC27" i="1" s="1"/>
  <c r="BB36" i="1"/>
  <c r="BE36" i="1" s="1"/>
  <c r="BH36" i="1" s="1"/>
  <c r="BK36" i="1" s="1"/>
  <c r="BN36" i="1" s="1"/>
  <c r="BQ36" i="1" s="1"/>
  <c r="BT36" i="1" s="1"/>
  <c r="BW36" i="1" s="1"/>
  <c r="BZ36" i="1" s="1"/>
  <c r="CC36" i="1" s="1"/>
  <c r="CE36" i="1"/>
  <c r="CE26" i="1"/>
  <c r="BB26" i="1"/>
  <c r="BE26" i="1" s="1"/>
  <c r="BH26" i="1" s="1"/>
  <c r="BK26" i="1" s="1"/>
  <c r="BN26" i="1" s="1"/>
  <c r="BQ26" i="1" s="1"/>
  <c r="BT26" i="1" s="1"/>
  <c r="BW26" i="1" s="1"/>
  <c r="BZ26" i="1" s="1"/>
  <c r="CC26" i="1" s="1"/>
  <c r="CE33" i="1"/>
  <c r="BB33" i="1"/>
  <c r="BE33" i="1" s="1"/>
  <c r="BH33" i="1" s="1"/>
  <c r="BK33" i="1" s="1"/>
  <c r="BN33" i="1" s="1"/>
  <c r="BQ33" i="1" s="1"/>
  <c r="BT33" i="1" s="1"/>
  <c r="BW33" i="1" s="1"/>
  <c r="BZ33" i="1" s="1"/>
  <c r="CC33" i="1" s="1"/>
  <c r="CE51" i="1"/>
  <c r="BB51" i="1"/>
  <c r="BE51" i="1" s="1"/>
  <c r="BH51" i="1" s="1"/>
  <c r="BK51" i="1" s="1"/>
  <c r="BN51" i="1" s="1"/>
  <c r="BQ51" i="1" s="1"/>
  <c r="BT51" i="1" s="1"/>
  <c r="BW51" i="1" s="1"/>
  <c r="BZ51" i="1" s="1"/>
  <c r="CC51" i="1" s="1"/>
  <c r="CE37" i="1"/>
  <c r="BB37" i="1"/>
  <c r="CE25" i="1"/>
  <c r="BB25" i="1"/>
  <c r="BE25" i="1" s="1"/>
  <c r="BH25" i="1" s="1"/>
  <c r="BK25" i="1" s="1"/>
  <c r="CE23" i="1"/>
  <c r="BB23" i="1"/>
  <c r="BE23" i="1" s="1"/>
  <c r="BH23" i="1" s="1"/>
  <c r="BK23" i="1" s="1"/>
  <c r="BN23" i="1" s="1"/>
  <c r="AY21" i="1"/>
  <c r="BB38" i="1"/>
  <c r="BE38" i="1" s="1"/>
  <c r="BH38" i="1" s="1"/>
  <c r="BK38" i="1" s="1"/>
  <c r="BN38" i="1" s="1"/>
  <c r="BQ38" i="1" s="1"/>
  <c r="BT38" i="1" s="1"/>
  <c r="BW38" i="1" s="1"/>
  <c r="BZ38" i="1" s="1"/>
  <c r="CC38" i="1" s="1"/>
  <c r="BB40" i="1"/>
  <c r="BE40" i="1" s="1"/>
  <c r="BH40" i="1" s="1"/>
  <c r="BK40" i="1" s="1"/>
  <c r="AJ58" i="1"/>
  <c r="AM58" i="1" s="1"/>
  <c r="AP58" i="1" s="1"/>
  <c r="AS58" i="1" s="1"/>
  <c r="AV58" i="1" s="1"/>
  <c r="AY58" i="1" s="1"/>
  <c r="CE41" i="1"/>
  <c r="BB41" i="1"/>
  <c r="BE41" i="1" s="1"/>
  <c r="CE24" i="1"/>
  <c r="BB24" i="1"/>
  <c r="BE24" i="1" s="1"/>
  <c r="BH24" i="1" s="1"/>
  <c r="BK24" i="1" s="1"/>
  <c r="BN24" i="1" s="1"/>
  <c r="BQ24" i="1" s="1"/>
  <c r="BT24" i="1" s="1"/>
  <c r="BW24" i="1" s="1"/>
  <c r="BZ24" i="1" s="1"/>
  <c r="CC24" i="1" s="1"/>
  <c r="BB30" i="1"/>
  <c r="BE30" i="1" s="1"/>
  <c r="BH30" i="1" s="1"/>
  <c r="BK30" i="1" s="1"/>
  <c r="BN30" i="1" s="1"/>
  <c r="BQ30" i="1" s="1"/>
  <c r="BT30" i="1" s="1"/>
  <c r="BW30" i="1" s="1"/>
  <c r="BZ30" i="1" s="1"/>
  <c r="CC30" i="1" s="1"/>
  <c r="AM47" i="1"/>
  <c r="AP47" i="1" s="1"/>
  <c r="AS47" i="1" s="1"/>
  <c r="AV47" i="1" s="1"/>
  <c r="AY47" i="1" s="1"/>
  <c r="BB5" i="1"/>
  <c r="BE5" i="1" s="1"/>
  <c r="BH5" i="1" s="1"/>
  <c r="BK5" i="1" s="1"/>
  <c r="BN5" i="1" s="1"/>
  <c r="BQ5" i="1" s="1"/>
  <c r="BT5" i="1" s="1"/>
  <c r="BW5" i="1" s="1"/>
  <c r="BZ5" i="1" s="1"/>
  <c r="CC5" i="1" s="1"/>
  <c r="AP61" i="1"/>
  <c r="AS61" i="1" s="1"/>
  <c r="AV61" i="1" s="1"/>
  <c r="CE42" i="1" l="1"/>
  <c r="AY34" i="1"/>
  <c r="CE34" i="1" s="1"/>
  <c r="CE30" i="1"/>
  <c r="AY12" i="1"/>
  <c r="BQ12" i="1" s="1"/>
  <c r="BT12" i="1" s="1"/>
  <c r="BW12" i="1" s="1"/>
  <c r="BZ12" i="1" s="1"/>
  <c r="AY60" i="1"/>
  <c r="BB60" i="1" s="1"/>
  <c r="BE60" i="1" s="1"/>
  <c r="CE58" i="1"/>
  <c r="BB58" i="1"/>
  <c r="BE58" i="1" s="1"/>
  <c r="BH58" i="1" s="1"/>
  <c r="BK58" i="1" s="1"/>
  <c r="BN58" i="1" s="1"/>
  <c r="BQ58" i="1" s="1"/>
  <c r="BT58" i="1" s="1"/>
  <c r="BW58" i="1" s="1"/>
  <c r="BZ58" i="1" s="1"/>
  <c r="CC58" i="1" s="1"/>
  <c r="CE47" i="1"/>
  <c r="BB47" i="1"/>
  <c r="BE47" i="1" s="1"/>
  <c r="BH47" i="1" s="1"/>
  <c r="BK47" i="1" s="1"/>
  <c r="BN47" i="1" s="1"/>
  <c r="BQ47" i="1" s="1"/>
  <c r="BT47" i="1" s="1"/>
  <c r="BW47" i="1" s="1"/>
  <c r="BZ47" i="1" s="1"/>
  <c r="CC47" i="1" s="1"/>
  <c r="CE21" i="1"/>
  <c r="BB21" i="1"/>
  <c r="BE21" i="1" s="1"/>
  <c r="BH21" i="1" s="1"/>
  <c r="BK21" i="1" s="1"/>
  <c r="BN21" i="1" s="1"/>
  <c r="BQ21" i="1" s="1"/>
  <c r="BT21" i="1" s="1"/>
  <c r="BW21" i="1" s="1"/>
  <c r="BZ21" i="1" s="1"/>
  <c r="CC21" i="1" s="1"/>
  <c r="G61" i="1"/>
  <c r="AY61" i="1"/>
  <c r="BT61" i="1" s="1"/>
  <c r="BW61" i="1" s="1"/>
  <c r="BZ61" i="1" s="1"/>
  <c r="CC61" i="1" s="1"/>
  <c r="BB34" i="1" l="1"/>
  <c r="BE34" i="1" s="1"/>
  <c r="BH34" i="1" s="1"/>
  <c r="BK34" i="1" s="1"/>
  <c r="BN34" i="1" s="1"/>
  <c r="BQ34" i="1" s="1"/>
  <c r="BT34" i="1" s="1"/>
  <c r="BW34" i="1" s="1"/>
  <c r="BZ34" i="1" s="1"/>
  <c r="CC34" i="1" s="1"/>
  <c r="BH60" i="1"/>
  <c r="BK60" i="1" s="1"/>
  <c r="CE60" i="1"/>
  <c r="BN60" i="1"/>
  <c r="BQ60" i="1" s="1"/>
  <c r="BT60" i="1" s="1"/>
  <c r="BW60" i="1" s="1"/>
  <c r="BZ60" i="1" s="1"/>
  <c r="CC60" i="1" s="1"/>
  <c r="CE12" i="1"/>
  <c r="BK12" i="1"/>
  <c r="BN12" i="1" s="1"/>
  <c r="BB12" i="1"/>
  <c r="BE12" i="1"/>
  <c r="BH12" i="1" s="1"/>
  <c r="CC12" i="1"/>
  <c r="BB61" i="1"/>
  <c r="BE61" i="1" s="1"/>
  <c r="BH61" i="1" s="1"/>
  <c r="BK61" i="1" s="1"/>
  <c r="BN61" i="1" s="1"/>
  <c r="BQ61" i="1" s="1"/>
  <c r="CE61" i="1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2" i="5"/>
  <c r="B5" i="5"/>
  <c r="B4" i="5"/>
  <c r="B3" i="5"/>
  <c r="B25" i="5" l="1"/>
  <c r="C9" i="5" s="1"/>
  <c r="B6" i="5"/>
  <c r="BA4" i="1"/>
  <c r="BD4" i="1" s="1"/>
  <c r="BG4" i="1" s="1"/>
  <c r="BJ4" i="1" s="1"/>
  <c r="BM4" i="1" s="1"/>
  <c r="BP4" i="1" s="1"/>
  <c r="BS4" i="1" s="1"/>
  <c r="BV4" i="1" s="1"/>
  <c r="BY4" i="1" s="1"/>
  <c r="CB4" i="1" s="1"/>
  <c r="K4" i="1"/>
  <c r="L4" i="1" s="1"/>
  <c r="G1" i="1"/>
  <c r="E2" i="3"/>
  <c r="D2" i="3" s="1"/>
  <c r="D3" i="3"/>
  <c r="I6" i="3" s="1"/>
  <c r="J1" i="1"/>
  <c r="M1" i="1" s="1"/>
  <c r="O63" i="1"/>
  <c r="R63" i="1" s="1"/>
  <c r="U63" i="1" s="1"/>
  <c r="X63" i="1" s="1"/>
  <c r="AA63" i="1" s="1"/>
  <c r="AD63" i="1" s="1"/>
  <c r="AG63" i="1" s="1"/>
  <c r="AJ63" i="1" s="1"/>
  <c r="AM63" i="1" s="1"/>
  <c r="AP63" i="1" s="1"/>
  <c r="AS63" i="1" s="1"/>
  <c r="AV63" i="1" s="1"/>
  <c r="AY63" i="1" s="1"/>
  <c r="Y67" i="1"/>
  <c r="AB67" i="1"/>
  <c r="AE67" i="1"/>
  <c r="AH67" i="1"/>
  <c r="AK67" i="1"/>
  <c r="AN67" i="1"/>
  <c r="AQ67" i="1"/>
  <c r="AT67" i="1"/>
  <c r="AW67" i="1"/>
  <c r="J67" i="1"/>
  <c r="A19" i="2"/>
  <c r="CE62" i="1"/>
  <c r="I67" i="1"/>
  <c r="M67" i="1"/>
  <c r="P67" i="1"/>
  <c r="S67" i="1"/>
  <c r="V67" i="1"/>
  <c r="AZ67" i="1"/>
  <c r="BC67" i="1"/>
  <c r="BF67" i="1"/>
  <c r="BI67" i="1"/>
  <c r="BL67" i="1"/>
  <c r="BO67" i="1"/>
  <c r="BR67" i="1"/>
  <c r="BU67" i="1"/>
  <c r="BX67" i="1"/>
  <c r="CA67" i="1"/>
  <c r="BB63" i="1"/>
  <c r="BE63" i="1" s="1"/>
  <c r="BH63" i="1" s="1"/>
  <c r="BK63" i="1" s="1"/>
  <c r="BN63" i="1" s="1"/>
  <c r="BQ63" i="1" s="1"/>
  <c r="BT63" i="1" s="1"/>
  <c r="BW63" i="1" s="1"/>
  <c r="BZ63" i="1" s="1"/>
  <c r="CC63" i="1" s="1"/>
  <c r="AZ1" i="1"/>
  <c r="BC1" i="1" s="1"/>
  <c r="BF1" i="1" s="1"/>
  <c r="BI1" i="1" s="1"/>
  <c r="BL1" i="1" s="1"/>
  <c r="BO1" i="1" s="1"/>
  <c r="BR1" i="1" s="1"/>
  <c r="BU1" i="1" s="1"/>
  <c r="BX1" i="1" s="1"/>
  <c r="CA1" i="1" s="1"/>
  <c r="C24" i="5" l="1"/>
  <c r="C20" i="5"/>
  <c r="C12" i="5"/>
  <c r="C23" i="5"/>
  <c r="C19" i="5"/>
  <c r="C15" i="5"/>
  <c r="C22" i="5"/>
  <c r="C16" i="5"/>
  <c r="C21" i="5"/>
  <c r="C17" i="5"/>
  <c r="C13" i="5"/>
  <c r="C18" i="5"/>
  <c r="C11" i="5"/>
  <c r="C10" i="5"/>
  <c r="C14" i="5"/>
  <c r="BA67" i="1"/>
  <c r="BD67" i="1"/>
  <c r="N4" i="1"/>
  <c r="Q4" i="1" s="1"/>
  <c r="T4" i="1" s="1"/>
  <c r="W4" i="1" s="1"/>
  <c r="Z4" i="1" s="1"/>
  <c r="AC4" i="1" s="1"/>
  <c r="AF4" i="1" s="1"/>
  <c r="AI4" i="1" s="1"/>
  <c r="AL4" i="1" s="1"/>
  <c r="AO4" i="1" s="1"/>
  <c r="AR4" i="1" s="1"/>
  <c r="AU4" i="1" s="1"/>
  <c r="AX4" i="1" s="1"/>
  <c r="G9" i="3" s="1"/>
  <c r="C8" i="3" s="1"/>
  <c r="BG67" i="1"/>
  <c r="K67" i="1"/>
  <c r="P6" i="3"/>
  <c r="I25" i="3"/>
  <c r="I22" i="3"/>
  <c r="I21" i="3"/>
  <c r="I19" i="3"/>
  <c r="I17" i="3"/>
  <c r="I16" i="3"/>
  <c r="I9" i="3"/>
  <c r="I10" i="3"/>
  <c r="I12" i="3"/>
  <c r="I15" i="3"/>
  <c r="J6" i="3"/>
  <c r="I23" i="3"/>
  <c r="I24" i="3"/>
  <c r="I20" i="3"/>
  <c r="I8" i="3"/>
  <c r="I18" i="3"/>
  <c r="I13" i="3"/>
  <c r="I11" i="3"/>
  <c r="I14" i="3"/>
  <c r="E20" i="2"/>
  <c r="E36" i="2" s="1"/>
  <c r="P1" i="1"/>
  <c r="F20" i="2"/>
  <c r="C25" i="5" l="1"/>
  <c r="N67" i="1"/>
  <c r="O4" i="1"/>
  <c r="R4" i="1" s="1"/>
  <c r="BJ67" i="1"/>
  <c r="E23" i="2"/>
  <c r="E24" i="2" s="1"/>
  <c r="E22" i="2"/>
  <c r="E31" i="2"/>
  <c r="E37" i="2"/>
  <c r="E35" i="2"/>
  <c r="P22" i="3"/>
  <c r="P24" i="3"/>
  <c r="P20" i="3"/>
  <c r="P14" i="3"/>
  <c r="P12" i="3"/>
  <c r="P15" i="3"/>
  <c r="P9" i="3"/>
  <c r="P18" i="3"/>
  <c r="Q6" i="3"/>
  <c r="P25" i="3"/>
  <c r="P21" i="3"/>
  <c r="P23" i="3"/>
  <c r="P19" i="3"/>
  <c r="P10" i="3"/>
  <c r="P11" i="3"/>
  <c r="P8" i="3"/>
  <c r="P16" i="3"/>
  <c r="P13" i="3"/>
  <c r="P17" i="3"/>
  <c r="J13" i="3"/>
  <c r="J15" i="3"/>
  <c r="J10" i="3"/>
  <c r="J11" i="3"/>
  <c r="J18" i="3"/>
  <c r="J23" i="3"/>
  <c r="J22" i="3"/>
  <c r="J24" i="3"/>
  <c r="J19" i="3"/>
  <c r="J16" i="3"/>
  <c r="J17" i="3"/>
  <c r="J14" i="3"/>
  <c r="J12" i="3"/>
  <c r="J8" i="3"/>
  <c r="J9" i="3"/>
  <c r="K6" i="3"/>
  <c r="J25" i="3"/>
  <c r="J21" i="3"/>
  <c r="J20" i="3"/>
  <c r="S1" i="1"/>
  <c r="G20" i="2"/>
  <c r="F23" i="2"/>
  <c r="F22" i="2"/>
  <c r="F36" i="2" l="1"/>
  <c r="Q67" i="1"/>
  <c r="F31" i="2"/>
  <c r="W67" i="1"/>
  <c r="T67" i="1"/>
  <c r="F37" i="2"/>
  <c r="F35" i="2"/>
  <c r="U4" i="1"/>
  <c r="F24" i="2"/>
  <c r="F27" i="2" s="1"/>
  <c r="F28" i="2" s="1"/>
  <c r="BM67" i="1"/>
  <c r="Z67" i="1"/>
  <c r="Q18" i="3"/>
  <c r="R6" i="3"/>
  <c r="Q25" i="3"/>
  <c r="Q22" i="3"/>
  <c r="Q21" i="3"/>
  <c r="Q19" i="3"/>
  <c r="Q9" i="3"/>
  <c r="Q12" i="3"/>
  <c r="Q15" i="3"/>
  <c r="Q10" i="3"/>
  <c r="Q17" i="3"/>
  <c r="Q23" i="3"/>
  <c r="Q24" i="3"/>
  <c r="Q20" i="3"/>
  <c r="Q8" i="3"/>
  <c r="Q13" i="3"/>
  <c r="Q11" i="3"/>
  <c r="Q14" i="3"/>
  <c r="Q16" i="3"/>
  <c r="K8" i="3"/>
  <c r="K16" i="3"/>
  <c r="K15" i="3"/>
  <c r="K9" i="3"/>
  <c r="K12" i="3"/>
  <c r="K25" i="3"/>
  <c r="K20" i="3"/>
  <c r="K23" i="3"/>
  <c r="K19" i="3"/>
  <c r="K17" i="3"/>
  <c r="K18" i="3"/>
  <c r="K11" i="3"/>
  <c r="K13" i="3"/>
  <c r="K14" i="3"/>
  <c r="K10" i="3"/>
  <c r="K24" i="3"/>
  <c r="K22" i="3"/>
  <c r="L6" i="3"/>
  <c r="K21" i="3"/>
  <c r="V1" i="1"/>
  <c r="H20" i="2"/>
  <c r="G22" i="2"/>
  <c r="G23" i="2"/>
  <c r="G24" i="2" s="1"/>
  <c r="E25" i="2"/>
  <c r="E27" i="2"/>
  <c r="E28" i="2" s="1"/>
  <c r="F25" i="2" l="1"/>
  <c r="G36" i="2"/>
  <c r="G37" i="2"/>
  <c r="G35" i="2"/>
  <c r="G31" i="2"/>
  <c r="X4" i="1"/>
  <c r="BP67" i="1"/>
  <c r="G25" i="2"/>
  <c r="AC67" i="1"/>
  <c r="R22" i="3"/>
  <c r="R24" i="3"/>
  <c r="R20" i="3"/>
  <c r="R15" i="3"/>
  <c r="R10" i="3"/>
  <c r="R13" i="3"/>
  <c r="R12" i="3"/>
  <c r="R18" i="3"/>
  <c r="S6" i="3"/>
  <c r="R25" i="3"/>
  <c r="R21" i="3"/>
  <c r="R23" i="3"/>
  <c r="R19" i="3"/>
  <c r="R11" i="3"/>
  <c r="R16" i="3"/>
  <c r="R17" i="3"/>
  <c r="R9" i="3"/>
  <c r="R14" i="3"/>
  <c r="R8" i="3"/>
  <c r="L18" i="3"/>
  <c r="L16" i="3"/>
  <c r="L12" i="3"/>
  <c r="L13" i="3"/>
  <c r="L11" i="3"/>
  <c r="L9" i="3"/>
  <c r="M6" i="3"/>
  <c r="L22" i="3"/>
  <c r="L24" i="3"/>
  <c r="L20" i="3"/>
  <c r="L8" i="3"/>
  <c r="L15" i="3"/>
  <c r="L14" i="3"/>
  <c r="L10" i="3"/>
  <c r="L17" i="3"/>
  <c r="L25" i="3"/>
  <c r="L21" i="3"/>
  <c r="L23" i="3"/>
  <c r="L19" i="3"/>
  <c r="Y1" i="1"/>
  <c r="I20" i="2"/>
  <c r="G27" i="2"/>
  <c r="G28" i="2" s="1"/>
  <c r="H23" i="2"/>
  <c r="H24" i="2" s="1"/>
  <c r="H27" i="2" s="1"/>
  <c r="H22" i="2"/>
  <c r="H25" i="2" l="1"/>
  <c r="H37" i="2"/>
  <c r="H36" i="2"/>
  <c r="H31" i="2"/>
  <c r="H35" i="2"/>
  <c r="H28" i="2"/>
  <c r="AA4" i="1"/>
  <c r="AD4" i="1" s="1"/>
  <c r="BS67" i="1"/>
  <c r="AF67" i="1"/>
  <c r="M18" i="3"/>
  <c r="M17" i="3"/>
  <c r="M8" i="3"/>
  <c r="M11" i="3"/>
  <c r="M9" i="3"/>
  <c r="M24" i="3"/>
  <c r="M25" i="3"/>
  <c r="M23" i="3"/>
  <c r="N6" i="3"/>
  <c r="O6" i="3" s="1"/>
  <c r="M10" i="3"/>
  <c r="M14" i="3"/>
  <c r="M15" i="3"/>
  <c r="M13" i="3"/>
  <c r="M12" i="3"/>
  <c r="M16" i="3"/>
  <c r="M21" i="3"/>
  <c r="M20" i="3"/>
  <c r="M22" i="3"/>
  <c r="M19" i="3"/>
  <c r="S18" i="3"/>
  <c r="T6" i="3"/>
  <c r="S25" i="3"/>
  <c r="S24" i="3"/>
  <c r="S21" i="3"/>
  <c r="S19" i="3"/>
  <c r="S10" i="3"/>
  <c r="S8" i="3"/>
  <c r="S17" i="3"/>
  <c r="S13" i="3"/>
  <c r="S15" i="3"/>
  <c r="S16" i="3"/>
  <c r="S22" i="3"/>
  <c r="S23" i="3"/>
  <c r="S20" i="3"/>
  <c r="S9" i="3"/>
  <c r="S12" i="3"/>
  <c r="S11" i="3"/>
  <c r="S14" i="3"/>
  <c r="AB1" i="1"/>
  <c r="J20" i="2"/>
  <c r="I37" i="2"/>
  <c r="I23" i="2"/>
  <c r="I24" i="2" s="1"/>
  <c r="I27" i="2" s="1"/>
  <c r="I22" i="2"/>
  <c r="I31" i="2"/>
  <c r="I35" i="2" l="1"/>
  <c r="I36" i="2"/>
  <c r="I28" i="2"/>
  <c r="AG4" i="1"/>
  <c r="AJ4" i="1" s="1"/>
  <c r="J36" i="2"/>
  <c r="BV67" i="1"/>
  <c r="AI67" i="1"/>
  <c r="T23" i="3"/>
  <c r="W23" i="3" s="1"/>
  <c r="T21" i="3"/>
  <c r="W21" i="3" s="1"/>
  <c r="T20" i="3"/>
  <c r="W20" i="3" s="1"/>
  <c r="U6" i="3"/>
  <c r="V6" i="3" s="1"/>
  <c r="T16" i="3"/>
  <c r="W16" i="3" s="1"/>
  <c r="T11" i="3"/>
  <c r="W11" i="3" s="1"/>
  <c r="T8" i="3"/>
  <c r="W8" i="3" s="1"/>
  <c r="T10" i="3"/>
  <c r="W10" i="3" s="1"/>
  <c r="T13" i="3"/>
  <c r="W13" i="3" s="1"/>
  <c r="T17" i="3"/>
  <c r="W17" i="3" s="1"/>
  <c r="T18" i="3"/>
  <c r="W18" i="3" s="1"/>
  <c r="T25" i="3"/>
  <c r="W25" i="3" s="1"/>
  <c r="T22" i="3"/>
  <c r="W22" i="3" s="1"/>
  <c r="T24" i="3"/>
  <c r="W24" i="3" s="1"/>
  <c r="T19" i="3"/>
  <c r="W19" i="3" s="1"/>
  <c r="T14" i="3"/>
  <c r="W14" i="3" s="1"/>
  <c r="T12" i="3"/>
  <c r="W12" i="3" s="1"/>
  <c r="T15" i="3"/>
  <c r="W15" i="3" s="1"/>
  <c r="T9" i="3"/>
  <c r="W9" i="3" s="1"/>
  <c r="AE1" i="1"/>
  <c r="K20" i="2"/>
  <c r="J22" i="2"/>
  <c r="J31" i="2"/>
  <c r="J23" i="2"/>
  <c r="J24" i="2" s="1"/>
  <c r="J35" i="2"/>
  <c r="I25" i="2"/>
  <c r="J37" i="2" l="1"/>
  <c r="AM4" i="1"/>
  <c r="AP4" i="1" s="1"/>
  <c r="AS4" i="1" s="1"/>
  <c r="AV4" i="1" s="1"/>
  <c r="AY4" i="1" s="1"/>
  <c r="CE4" i="1" s="1"/>
  <c r="CB67" i="1"/>
  <c r="BY67" i="1"/>
  <c r="J27" i="2"/>
  <c r="J28" i="2" s="1"/>
  <c r="J25" i="2"/>
  <c r="AL67" i="1"/>
  <c r="C9" i="3"/>
  <c r="C10" i="3" s="1"/>
  <c r="AH1" i="1"/>
  <c r="L20" i="2"/>
  <c r="K22" i="2"/>
  <c r="K23" i="2"/>
  <c r="K24" i="2" s="1"/>
  <c r="K36" i="2" l="1"/>
  <c r="K35" i="2"/>
  <c r="K37" i="2"/>
  <c r="K31" i="2"/>
  <c r="G4" i="1"/>
  <c r="BB4" i="1"/>
  <c r="BE4" i="1" s="1"/>
  <c r="BH4" i="1" s="1"/>
  <c r="BK4" i="1" s="1"/>
  <c r="BN4" i="1" s="1"/>
  <c r="BQ4" i="1" s="1"/>
  <c r="BT4" i="1" s="1"/>
  <c r="BW4" i="1" s="1"/>
  <c r="BZ4" i="1" s="1"/>
  <c r="CC4" i="1" s="1"/>
  <c r="AO67" i="1"/>
  <c r="K27" i="2"/>
  <c r="K28" i="2" s="1"/>
  <c r="K25" i="2"/>
  <c r="AK1" i="1"/>
  <c r="M20" i="2"/>
  <c r="L22" i="2"/>
  <c r="L31" i="2"/>
  <c r="L37" i="2"/>
  <c r="L35" i="2"/>
  <c r="L23" i="2"/>
  <c r="L24" i="2" s="1"/>
  <c r="L27" i="2" s="1"/>
  <c r="L28" i="2" s="1"/>
  <c r="L36" i="2"/>
  <c r="AR67" i="1" l="1"/>
  <c r="L25" i="2"/>
  <c r="N20" i="2"/>
  <c r="AN1" i="1"/>
  <c r="M23" i="2"/>
  <c r="M24" i="2" s="1"/>
  <c r="M27" i="2" s="1"/>
  <c r="M37" i="2"/>
  <c r="M31" i="2"/>
  <c r="M22" i="2"/>
  <c r="M35" i="2"/>
  <c r="M36" i="2"/>
  <c r="M28" i="2" l="1"/>
  <c r="AU67" i="1"/>
  <c r="N31" i="2"/>
  <c r="N35" i="2"/>
  <c r="N23" i="2"/>
  <c r="N24" i="2" s="1"/>
  <c r="N27" i="2" s="1"/>
  <c r="N37" i="2"/>
  <c r="N36" i="2"/>
  <c r="N22" i="2"/>
  <c r="M25" i="2"/>
  <c r="AQ1" i="1"/>
  <c r="O20" i="2"/>
  <c r="B30" i="5" l="1"/>
  <c r="B29" i="5"/>
  <c r="B31" i="5"/>
  <c r="B32" i="5"/>
  <c r="B28" i="5"/>
  <c r="N28" i="2"/>
  <c r="AX67" i="1"/>
  <c r="AT1" i="1"/>
  <c r="P20" i="2"/>
  <c r="O23" i="2"/>
  <c r="O24" i="2" s="1"/>
  <c r="O27" i="2" s="1"/>
  <c r="O31" i="2"/>
  <c r="O36" i="2"/>
  <c r="O22" i="2"/>
  <c r="O37" i="2"/>
  <c r="O35" i="2"/>
  <c r="N25" i="2"/>
  <c r="B33" i="5" l="1"/>
  <c r="C28" i="5" s="1"/>
  <c r="O28" i="2"/>
  <c r="O25" i="2"/>
  <c r="O33" i="2"/>
  <c r="O32" i="2" s="1"/>
  <c r="AW1" i="1"/>
  <c r="R20" i="2" s="1"/>
  <c r="Q20" i="2"/>
  <c r="P22" i="2"/>
  <c r="P37" i="2"/>
  <c r="P31" i="2"/>
  <c r="P23" i="2"/>
  <c r="P24" i="2" s="1"/>
  <c r="P27" i="2" s="1"/>
  <c r="P36" i="2"/>
  <c r="P35" i="2"/>
  <c r="P33" i="2"/>
  <c r="C29" i="5" l="1"/>
  <c r="C30" i="5"/>
  <c r="C32" i="5"/>
  <c r="C31" i="5"/>
  <c r="P28" i="2"/>
  <c r="O29" i="2"/>
  <c r="I33" i="2"/>
  <c r="I29" i="2" s="1"/>
  <c r="J33" i="2"/>
  <c r="K33" i="2"/>
  <c r="M33" i="2"/>
  <c r="N33" i="2"/>
  <c r="L33" i="2"/>
  <c r="G33" i="2"/>
  <c r="G32" i="2" s="1"/>
  <c r="H33" i="2"/>
  <c r="E33" i="2"/>
  <c r="F33" i="2"/>
  <c r="BB67" i="1"/>
  <c r="R23" i="2"/>
  <c r="R31" i="2"/>
  <c r="R35" i="2"/>
  <c r="R33" i="2"/>
  <c r="R22" i="2"/>
  <c r="R37" i="2"/>
  <c r="R36" i="2"/>
  <c r="P25" i="2"/>
  <c r="P29" i="2" s="1"/>
  <c r="Q23" i="2"/>
  <c r="Q35" i="2"/>
  <c r="Q36" i="2"/>
  <c r="Q22" i="2"/>
  <c r="Q31" i="2"/>
  <c r="Q37" i="2"/>
  <c r="Q33" i="2"/>
  <c r="P32" i="2"/>
  <c r="R24" i="2" l="1"/>
  <c r="R27" i="2" s="1"/>
  <c r="R28" i="2" s="1"/>
  <c r="I32" i="2"/>
  <c r="C33" i="5"/>
  <c r="N32" i="2"/>
  <c r="N29" i="2"/>
  <c r="K32" i="2"/>
  <c r="K29" i="2"/>
  <c r="L32" i="2"/>
  <c r="L29" i="2"/>
  <c r="M32" i="2"/>
  <c r="M29" i="2"/>
  <c r="J32" i="2"/>
  <c r="J29" i="2"/>
  <c r="G29" i="2"/>
  <c r="H29" i="2"/>
  <c r="H32" i="2"/>
  <c r="E29" i="2"/>
  <c r="E32" i="2"/>
  <c r="F29" i="2"/>
  <c r="F32" i="2"/>
  <c r="Q24" i="2"/>
  <c r="BE67" i="1"/>
  <c r="R25" i="2" l="1"/>
  <c r="R29" i="2" s="1"/>
  <c r="R32" i="2"/>
  <c r="Q27" i="2"/>
  <c r="Q28" i="2" s="1"/>
  <c r="Q25" i="2"/>
  <c r="Q29" i="2" s="1"/>
  <c r="Q32" i="2"/>
  <c r="BH67" i="1"/>
  <c r="BK67" i="1" l="1"/>
  <c r="BN67" i="1" l="1"/>
  <c r="BQ67" i="1" l="1"/>
  <c r="BT67" i="1" l="1"/>
  <c r="BW67" i="1" l="1"/>
  <c r="BZ67" i="1" l="1"/>
  <c r="CC67" i="1"/>
  <c r="C5" i="5"/>
  <c r="C4" i="5"/>
  <c r="C3" i="5"/>
  <c r="C2" i="5"/>
  <c r="C6" i="5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guid="{916CD7C2-8CEF-4500-B8C1-DE7B5DEDC177}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guid="{4AE91B97-8499-4805-B952-5B198465F8B6}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<sst xmlns="http://schemas.openxmlformats.org/spreadsheetml/2006/main" count="280" uniqueCount="137">
  <si>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</si>
  <si>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</si>
  <si>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</si>
  <si>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</si>
  <si>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</si>
  <si>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</si>
  <si>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</si>
  <si>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</si>
  <si>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</si>
  <si>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</si>
  <si>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</si>
  <si>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</si>
  <si>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</si>
  <si>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</si>
  <si>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</si>
  <si>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</si>
  <si>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</si>
  <si>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</si>
  <si>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</si>
  <si>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</si>
  <si>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</si>
  <si>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</si>
  <si>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</si>
  <si>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</si>
  <si>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</si>
  <si>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</si>
  <si>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</si>
  <si>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</si>
  <si>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</si>
  <si>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</si>
  <si>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</si>
  <si>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</si>
  <si>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</si>
  <si>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</si>
  <si>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</si>
  <si>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</si>
  <si>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</si>
  <si>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</si>
  <si>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</si>
  <si>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</si>
  <si>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</si>
  <si>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</si>
  <si>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</si>
  <si>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</si>
  <si>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</si>
  <si>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</si>
  <si>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</si>
  <si>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</si>
  <si>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</si>
  <si>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</si>
  <si>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</si>
  <si>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</si>
  <si>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</si>
  <si>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</si>
  <si>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</si>
  <si>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</si>
  <si>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</si>
  <si>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</si>
  <si>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</si>
  <si>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</si>
  <si>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</si>
  <si>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</si>
  <si>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</si>
  <si>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</si>
  <si>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</si>
  <si>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</si>
  <si>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</si>
  <si>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</si>
  <si>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</si>
  <si>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</si>
  <si>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</si>
  <si>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</si>
  <si>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</si>
  <si>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</si>
  <si>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</si>
  <si>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</si>
  <si>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</si>
  <si>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</si>
  <si>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</si>
  <si>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</si>
  <si>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</si>
  <si>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</si>
  <si>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</si>
  <si>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</si>
  <si>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</si>
  <si>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</si>
  <si>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</si>
  <si>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</si>
  <si>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</si>
  <si>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</si>
  <si>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</si>
  <si>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Driver</t>
  </si>
  <si>
    <t>Mobile Phone</t>
  </si>
  <si>
    <t>Primary Phone</t>
  </si>
  <si>
    <t>Name</t>
  </si>
  <si>
    <t>Instant Messaging</t>
  </si>
  <si>
    <t>Alternate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</si>
  <si>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</si>
  <si>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</si>
  <si>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</si>
  <si>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</si>
  <si>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</si>
  <si>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</si>
  <si>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</si>
  <si>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</si>
  <si>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</si>
  <si>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</si>
  <si>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</si>
  <si>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</si>
  <si>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</si>
  <si>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</si>
  <si>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</si>
  <si>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</si>
  <si>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</si>
  <si>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</si>
  <si>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</si>
  <si>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</si>
  <si>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</si>
  <si>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</si>
  <si>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</si>
  <si>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</si>
  <si>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</si>
  <si>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</si>
  <si>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</si>
  <si>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</si>
  <si>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</si>
  <si>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</si>
  <si>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</si>
  <si>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</si>
  <si>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Piper Dougherty</t>
  </si>
  <si>
    <t>doughepi</t>
  </si>
  <si>
    <t>doughertypiper@gmail.com</t>
  </si>
  <si>
    <t>Develop a user interface.</t>
  </si>
  <si>
    <t>Adam Reichanadter</t>
  </si>
  <si>
    <t>ajreicha</t>
  </si>
  <si>
    <t>Develop login page for users to log in with.</t>
  </si>
  <si>
    <t>Develop registration page for users to register with.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</si>
</sst>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usernames" Target="revisions/userNames1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revisionHeaders" Target="revisions/revisionHeaders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FA-46B4-ADD7-99239BAB842D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FA-46B4-ADD7-99239BAB842D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FA-46B4-ADD7-99239BAB8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80800"/>
        <c:axId val="97982720"/>
      </c:areaChart>
      <c:catAx>
        <c:axId val="979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79827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79827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79808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51-4D6A-80A3-1A40E76B2E73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51-4D6A-80A3-1A40E76B2E73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51-4D6A-80A3-1A40E76B2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6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51-4D6A-80A3-1A40E76B2E73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C251-4D6A-80A3-1A40E76B2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24064"/>
        <c:axId val="98026624"/>
      </c:lineChart>
      <c:catAx>
        <c:axId val="980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80266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80266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80240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B9-47CE-AA10-1FC871895F22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B9-47CE-AA10-1FC871895F22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B9-47CE-AA10-1FC871895F22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B9-47CE-AA10-1FC871895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5F-491A-8A4A-412E1FF07A26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5F-491A-8A4A-412E1FF07A26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5F-491A-8A4A-412E1FF07A26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5F-491A-8A4A-412E1FF07A26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5F-491A-8A4A-412E1FF07A26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25F-491A-8A4A-412E1FF07A26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25F-491A-8A4A-412E1FF07A26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25F-491A-8A4A-412E1FF07A26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25F-491A-8A4A-412E1FF07A26}"/>
            </c:ext>
          </c:extLst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25F-491A-8A4A-412E1FF07A26}"/>
            </c:ext>
          </c:extLst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25F-491A-8A4A-412E1FF07A26}"/>
            </c:ext>
          </c:extLst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25F-491A-8A4A-412E1FF07A26}"/>
            </c:ext>
          </c:extLst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25F-491A-8A4A-412E1FF07A26}"/>
            </c:ext>
          </c:extLst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25F-491A-8A4A-412E1FF07A26}"/>
            </c:ext>
          </c:extLst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25F-491A-8A4A-412E1FF07A26}"/>
            </c:ext>
          </c:extLst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25F-491A-8A4A-412E1FF07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8A-4C45-BC22-B1A4289559CF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8A-4C45-BC22-B1A4289559CF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8A-4C45-BC22-B1A4289559CF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8A-4C45-BC22-B1A4289559CF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8A-4C45-BC22-B1A428955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>
          <a:extLst>
            <a:ext uri="{FF2B5EF4-FFF2-40B4-BE49-F238E27FC236}">
              <a16:creationId xmlns:a16="http://schemas.microsoft.com/office/drawing/2014/main" id="{00000000-0008-0000-0100-000080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>
          <a:extLst>
            <a:ext uri="{FF2B5EF4-FFF2-40B4-BE49-F238E27FC236}">
              <a16:creationId xmlns:a16="http://schemas.microsoft.com/office/drawing/2014/main" id="{00000000-0008-0000-0100-000081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evisions/_rels/revisionHeaders.xml.rels><?xml version="1.0" encoding="UTF-8" standalone="yes"?>
<Relationships xmlns="http://schemas.openxmlformats.org/package/2006/relationships"><Relationship Id="rId3" Type="http://schemas.openxmlformats.org/officeDocument/2006/relationships/revisionLog" Target="revisionLog3.xml"/><Relationship Id="rId2" Type="http://schemas.openxmlformats.org/officeDocument/2006/relationships/revisionLog" Target="revisionLog2.xml"/><Relationship Id="rId1" Type="http://schemas.openxmlformats.org/officeDocument/2006/relationships/revisionLog" Target="revisionLog1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F755EEF5-8AD5-4C43-ACD4-2F67285090BE}" diskRevisions="1" revisionId="69" version="2">
  <header guid="{3357A2C5-B1D7-40A4-A588-53D1872C07C2}" dateTime="2017-02-06T15:07:47" maxSheetId="6" userName="Piper Dougherty" r:id="rId1">
    <sheetIdMap count="5">
      <sheetId val="1"/>
      <sheetId val="2"/>
      <sheetId val="3"/>
      <sheetId val="4"/>
      <sheetId val="5"/>
    </sheetIdMap>
  </header>
  <header guid="{4E3BA03E-AB23-4B07-98BA-CE18D421E4B6}" dateTime="2017-02-06T15:23:43" maxSheetId="6" userName="Piper Dougherty" r:id="rId2" minRId="1" maxRId="47">
    <sheetIdMap count="5">
      <sheetId val="1"/>
      <sheetId val="2"/>
      <sheetId val="3"/>
      <sheetId val="4"/>
      <sheetId val="5"/>
    </sheetIdMap>
  </header>
  <header guid="{F755EEF5-8AD5-4C43-ACD4-2F67285090BE}" dateTime="2017-02-06T15:30:07" maxSheetId="6" userName="Piper Dougherty" r:id="rId3" minRId="48" maxRId="65">
    <sheetIdMap count="5">
      <sheetId val="1"/>
      <sheetId val="2"/>
      <sheetId val="3"/>
      <sheetId val="4"/>
      <sheetId val="5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" sId="5">
    <oc r="C24">
      <f>B24/$B$25</f>
    </oc>
    <nc r="C24">
      <f>B24/$B$25</f>
    </nc>
  </rcc>
  <rcc rId="2" sId="4">
    <oc r="E8" t="inlineStr">
      <is>
        <t>Phone</t>
      </is>
    </oc>
    <nc r="E8"/>
  </rcc>
  <rcc rId="3" sId="4">
    <oc r="F8" t="inlineStr">
      <is>
        <t>Mobile</t>
      </is>
    </oc>
    <nc r="F8"/>
  </rcc>
  <rcc rId="4" sId="4">
    <oc r="G8" t="inlineStr">
      <is>
        <t>Alt Email</t>
      </is>
    </oc>
    <nc r="G8"/>
  </rcc>
  <rcc rId="5" sId="4">
    <oc r="H8" t="inlineStr">
      <is>
        <t>IM Information</t>
      </is>
    </oc>
    <nc r="H8"/>
  </rcc>
  <rcc rId="6" sId="4">
    <oc r="H9" t="inlineStr">
      <is>
        <t>IM Information</t>
      </is>
    </oc>
    <nc r="H9"/>
  </rcc>
  <rcc rId="7" sId="4">
    <oc r="C10" t="inlineStr">
      <is>
        <t>Name</t>
      </is>
    </oc>
    <nc r="C10"/>
  </rcc>
  <rcc rId="8" sId="4">
    <oc r="D10" t="inlineStr">
      <is>
        <t>Email</t>
      </is>
    </oc>
    <nc r="D10"/>
  </rcc>
  <rcc rId="9" sId="4">
    <oc r="E10" t="inlineStr">
      <is>
        <t>Phone</t>
      </is>
    </oc>
    <nc r="E10"/>
  </rcc>
  <rcc rId="10" sId="4">
    <oc r="F10" t="inlineStr">
      <is>
        <t>Mobile</t>
      </is>
    </oc>
    <nc r="F10"/>
  </rcc>
  <rcc rId="11" sId="4">
    <oc r="G10" t="inlineStr">
      <is>
        <t>Alt Email</t>
      </is>
    </oc>
    <nc r="G10"/>
  </rcc>
  <rcc rId="12" sId="4">
    <oc r="H10" t="inlineStr">
      <is>
        <t>IM Information</t>
      </is>
    </oc>
    <nc r="H10"/>
  </rcc>
  <rcc rId="13" sId="4">
    <oc r="C11" t="inlineStr">
      <is>
        <t>Name</t>
      </is>
    </oc>
    <nc r="C11"/>
  </rcc>
  <rcc rId="14" sId="4">
    <oc r="D11" t="inlineStr">
      <is>
        <t>Email</t>
      </is>
    </oc>
    <nc r="D11"/>
  </rcc>
  <rcc rId="15" sId="4">
    <oc r="E11" t="inlineStr">
      <is>
        <t>Phone</t>
      </is>
    </oc>
    <nc r="E11"/>
  </rcc>
  <rcc rId="16" sId="4">
    <oc r="F11" t="inlineStr">
      <is>
        <t>Mobile</t>
      </is>
    </oc>
    <nc r="F11"/>
  </rcc>
  <rcc rId="17" sId="4">
    <oc r="G11" t="inlineStr">
      <is>
        <t>Alt Email</t>
      </is>
    </oc>
    <nc r="G11"/>
  </rcc>
  <rcc rId="18" sId="4">
    <oc r="H11" t="inlineStr">
      <is>
        <t>IM Information</t>
      </is>
    </oc>
    <nc r="H11"/>
  </rcc>
  <rcc rId="19" sId="4">
    <oc r="C12" t="inlineStr">
      <is>
        <t>Name</t>
      </is>
    </oc>
    <nc r="C12"/>
  </rcc>
  <rcc rId="20" sId="4">
    <oc r="D12" t="inlineStr">
      <is>
        <t>Email</t>
      </is>
    </oc>
    <nc r="D12"/>
  </rcc>
  <rcc rId="21" sId="4">
    <oc r="E12" t="inlineStr">
      <is>
        <t>Phone</t>
      </is>
    </oc>
    <nc r="E12"/>
  </rcc>
  <rcc rId="22" sId="4">
    <oc r="F12" t="inlineStr">
      <is>
        <t>Mobile</t>
      </is>
    </oc>
    <nc r="F12"/>
  </rcc>
  <rcc rId="23" sId="4">
    <oc r="G12" t="inlineStr">
      <is>
        <t>Alt Email</t>
      </is>
    </oc>
    <nc r="G12"/>
  </rcc>
  <rcc rId="24" sId="4">
    <oc r="H12" t="inlineStr">
      <is>
        <t>IM Information</t>
      </is>
    </oc>
    <nc r="H12"/>
  </rcc>
  <rcc rId="25" sId="4">
    <oc r="C13" t="inlineStr">
      <is>
        <t>Name</t>
      </is>
    </oc>
    <nc r="C13"/>
  </rcc>
  <rcc rId="26" sId="4">
    <oc r="D13" t="inlineStr">
      <is>
        <t>Email</t>
      </is>
    </oc>
    <nc r="D13"/>
  </rcc>
  <rcc rId="27" sId="4">
    <oc r="E13" t="inlineStr">
      <is>
        <t>Phone</t>
      </is>
    </oc>
    <nc r="E13"/>
  </rcc>
  <rcc rId="28" sId="4">
    <oc r="F13" t="inlineStr">
      <is>
        <t>Mobile</t>
      </is>
    </oc>
    <nc r="F13"/>
  </rcc>
  <rcc rId="29" sId="4">
    <oc r="G13" t="inlineStr">
      <is>
        <t>Alt Email</t>
      </is>
    </oc>
    <nc r="G13"/>
  </rcc>
  <rcc rId="30" sId="4">
    <oc r="H13" t="inlineStr">
      <is>
        <t>IM Information</t>
      </is>
    </oc>
    <nc r="H13"/>
  </rcc>
  <rcc rId="31" sId="4">
    <oc r="C14" t="inlineStr">
      <is>
        <t>Name</t>
      </is>
    </oc>
    <nc r="C14"/>
  </rcc>
  <rcc rId="32" sId="4">
    <oc r="D14" t="inlineStr">
      <is>
        <t>Email</t>
      </is>
    </oc>
    <nc r="D14"/>
  </rcc>
  <rcc rId="33" sId="4">
    <oc r="E14" t="inlineStr">
      <is>
        <t>Phone</t>
      </is>
    </oc>
    <nc r="E14"/>
  </rcc>
  <rcc rId="34" sId="4">
    <oc r="F14" t="inlineStr">
      <is>
        <t>Mobile</t>
      </is>
    </oc>
    <nc r="F14"/>
  </rcc>
  <rcc rId="35" sId="4">
    <oc r="G14" t="inlineStr">
      <is>
        <t>Alt Email</t>
      </is>
    </oc>
    <nc r="G14"/>
  </rcc>
  <rcc rId="36" sId="4">
    <oc r="H14" t="inlineStr">
      <is>
        <t>IM Information</t>
      </is>
    </oc>
    <nc r="H14"/>
  </rcc>
  <rcc rId="37" sId="4">
    <oc r="C15" t="inlineStr">
      <is>
        <t>Unassigned</t>
      </is>
    </oc>
    <nc r="C15"/>
  </rcc>
  <rcc rId="38" sId="4">
    <oc r="D15" t="inlineStr">
      <is>
        <t>Unassigned</t>
      </is>
    </oc>
    <nc r="D15"/>
  </rcc>
  <rcc rId="39" sId="4">
    <nc r="C4" t="inlineStr">
      <is>
        <t>Develop a user interface.</t>
      </is>
    </nc>
  </rcc>
  <rcc rId="40" sId="4">
    <oc r="C8" t="inlineStr">
      <is>
        <t>Name</t>
      </is>
    </oc>
    <nc r="C8" t="inlineStr">
      <is>
        <t>Adam Reichanadter</t>
      </is>
    </nc>
  </rcc>
  <rcc rId="41" sId="4">
    <oc r="D8" t="inlineStr">
      <is>
        <t>Email</t>
      </is>
    </oc>
    <nc r="D8" t="inlineStr">
      <is>
        <t>ajreicha</t>
      </is>
    </nc>
  </rcc>
  <rcc rId="42" sId="4" odxf="1" dxf="1">
    <oc r="C9" t="inlineStr">
      <is>
        <t>Name</t>
      </is>
    </oc>
    <nc r="C9" t="inlineStr">
      <is>
        <t>Piper Dougherty</t>
      </is>
    </nc>
    <ndxf>
      <font>
        <b/>
        <sz val="8"/>
        <name val="Tahoma"/>
        <family val="2"/>
        <scheme val="none"/>
      </font>
      <alignment horizontal="center"/>
      <border outline="0">
        <top/>
      </border>
    </ndxf>
  </rcc>
  <rcc rId="43" sId="4" odxf="1" dxf="1">
    <oc r="D9" t="inlineStr">
      <is>
        <t>Email</t>
      </is>
    </oc>
    <nc r="D9" t="inlineStr">
      <is>
        <t>doughepi</t>
      </is>
    </nc>
    <ndxf>
      <font>
        <b/>
        <sz val="8"/>
        <name val="Tahoma"/>
        <family val="2"/>
        <scheme val="none"/>
      </font>
      <border outline="0">
        <top/>
      </border>
    </ndxf>
  </rcc>
  <rcc rId="44" sId="4" odxf="1" dxf="1">
    <oc r="E9" t="inlineStr">
      <is>
        <t>Phone</t>
      </is>
    </oc>
    <nc r="E9">
      <v>9895062800</v>
    </nc>
    <ndxf>
      <font>
        <b/>
        <sz val="8"/>
        <name val="Tahoma"/>
        <family val="2"/>
        <scheme val="none"/>
      </font>
      <alignment horizontal="center"/>
      <border outline="0">
        <top/>
      </border>
    </ndxf>
  </rcc>
  <rcc rId="45" sId="4" odxf="1" dxf="1">
    <oc r="F9" t="inlineStr">
      <is>
        <t>Mobile</t>
      </is>
    </oc>
    <nc r="F9">
      <v>9895062800</v>
    </nc>
    <ndxf>
      <font>
        <b/>
        <sz val="8"/>
        <name val="Tahoma"/>
        <family val="2"/>
        <scheme val="none"/>
      </font>
      <alignment horizontal="center"/>
      <border outline="0">
        <top/>
      </border>
    </ndxf>
  </rcc>
  <rcc rId="46" sId="4" odxf="1" dxf="1">
    <oc r="G9" t="inlineStr">
      <is>
        <t>Alt Email</t>
      </is>
    </oc>
    <nc r="G9" t="inlineStr">
      <is>
        <t>doughertypiper@gmail.com</t>
      </is>
    </nc>
    <ndxf>
      <font>
        <b/>
        <sz val="8"/>
        <name val="Tahoma"/>
        <family val="2"/>
        <scheme val="none"/>
      </font>
      <alignment horizontal="center"/>
      <border outline="0">
        <left style="thin">
          <color indexed="23"/>
        </left>
        <top/>
      </border>
    </ndxf>
  </rcc>
  <rcc rId="47" sId="4">
    <oc r="D7" t="inlineStr">
      <is>
        <t>.</t>
      </is>
    </oc>
    <nc r="D7"/>
  </rcc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" sId="1">
    <nc r="A4" t="inlineStr">
      <is>
        <t>Feature</t>
      </is>
    </nc>
  </rcc>
  <rcc rId="49" sId="1">
    <nc r="B4" t="inlineStr">
      <is>
        <t>Views</t>
      </is>
    </nc>
  </rcc>
  <rcc rId="50" sId="1">
    <nc r="E4" t="inlineStr">
      <is>
        <t>Develop login page for users to log in with.</t>
      </is>
    </nc>
  </rcc>
  <rcc rId="51" sId="1">
    <oc r="F4" t="inlineStr">
      <is>
        <t>Unassigned</t>
      </is>
    </oc>
    <nc r="F4" t="inlineStr">
      <is>
        <t>doughepi</t>
      </is>
    </nc>
  </rcc>
  <rcc rId="52" sId="1" numFmtId="4">
    <oc r="I4">
      <v>0</v>
    </oc>
    <nc r="I4">
      <v>4</v>
    </nc>
  </rcc>
  <rcc rId="53" sId="1">
    <nc r="A5" t="inlineStr">
      <is>
        <t>Feature</t>
      </is>
    </nc>
  </rcc>
  <rcc rId="54" sId="1">
    <nc r="B5" t="inlineStr">
      <is>
        <t>Views</t>
      </is>
    </nc>
  </rcc>
  <rcc rId="55" sId="1">
    <nc r="E5" t="inlineStr">
      <is>
        <t>Develop registration page for users to register with.</t>
      </is>
    </nc>
  </rcc>
  <rcc rId="56" sId="1">
    <oc r="F5" t="inlineStr">
      <is>
        <t>Unassigned</t>
      </is>
    </oc>
    <nc r="F5" t="inlineStr">
      <is>
        <t>ajreicha</t>
      </is>
    </nc>
  </rcc>
  <rcc rId="57" sId="1" numFmtId="4">
    <oc r="I5">
      <v>0</v>
    </oc>
    <nc r="I5">
      <v>4</v>
    </nc>
  </rcc>
  <rcc rId="58" sId="3" numFmtId="19">
    <oc r="E3">
      <v>39314</v>
    </oc>
    <nc r="E3">
      <v>42772</v>
    </nc>
  </rcc>
  <rcc rId="59" sId="3">
    <nc r="E8" t="inlineStr">
      <is>
        <t>ajreicha</t>
      </is>
    </nc>
  </rcc>
  <rcc rId="60" sId="3">
    <nc r="E9" t="inlineStr">
      <is>
        <t>doughepi</t>
      </is>
    </nc>
  </rcc>
  <rcc rId="61" sId="3" numFmtId="13">
    <oc r="F11">
      <v>1</v>
    </oc>
    <nc r="F11"/>
  </rcc>
  <rcc rId="62" sId="3" numFmtId="13">
    <oc r="F10">
      <v>0.3</v>
    </oc>
    <nc r="F10"/>
  </rcc>
  <rcc rId="63" sId="3">
    <oc r="C6">
      <v>8</v>
    </oc>
    <nc r="C6">
      <v>3</v>
    </nc>
  </rcc>
  <rcc rId="64" sId="1">
    <oc r="J4">
      <v>0</v>
    </oc>
    <nc r="J4">
      <v>1</v>
    </nc>
  </rcc>
  <rcc rId="65" sId="1">
    <oc r="J5">
      <v>0</v>
    </oc>
    <nc r="J5">
      <v>1</v>
    </nc>
  </rcc>
  <rcv guid="{C9C5CC50-BE5D-4B67-8515-C7A7865425FC}" action="delete"/>
  <rdn rId="0" localSheetId="1" customView="1" name="Z_C9C5CC50_BE5D_4B67_8515_C7A7865425FC_.wvu.Rows" hidden="1" oldHidden="1">
    <formula>Sprint!$62:$62,Sprint!$64:$66</formula>
    <oldFormula>Sprint!$62:$62,Sprint!$64:$66</oldFormula>
  </rdn>
  <rdn rId="0" localSheetId="1" customView="1" name="Z_C9C5CC50_BE5D_4B67_8515_C7A7865425FC_.wvu.Cols" hidden="1" oldHidden="1">
    <formula>Sprint!$AZ:$CC</formula>
    <oldFormula>Sprint!$AZ:$CC</oldFormula>
  </rdn>
  <rdn rId="0" localSheetId="1" customView="1" name="Z_C9C5CC50_BE5D_4B67_8515_C7A7865425FC_.wvu.FilterData" hidden="1" oldHidden="1">
    <formula>Sprint!$C$3:$CE$61</formula>
    <oldFormula>Sprint!$C$3:$CE$61</oldFormula>
  </rdn>
  <rdn rId="0" localSheetId="3" customView="1" name="Z_C9C5CC50_BE5D_4B67_8515_C7A7865425FC_.wvu.PrintArea" hidden="1" oldHidden="1">
    <formula>Capacity!$A$4:$AB$33</formula>
    <oldFormula>Capacity!$A$4:$AB$33</oldFormula>
  </rdn>
  <rcv guid="{C9C5CC50-BE5D-4B67-8515-C7A7865425FC}" action="add"/>
</revisions>
</file>

<file path=xl/revisions/userNames1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1">
  <userInfo guid="{F755EEF5-8AD5-4C43-ACD4-2F67285090BE}" name="Piper Dougherty" id="-1484267171" dateTime="2017-02-06T15:08:11"/>
</us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1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E8" sqref="E8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42772</v>
      </c>
      <c r="H1" s="1"/>
      <c r="I1" s="1"/>
      <c r="J1" s="188">
        <f>SprintStart</f>
        <v>42772</v>
      </c>
      <c r="K1" s="188"/>
      <c r="L1" s="188"/>
      <c r="M1" s="188">
        <f>IF(AND(SkipWeekends, WEEKDAY(J1)=6),J1+3, J1+1)</f>
        <v>42773</v>
      </c>
      <c r="N1" s="188"/>
      <c r="O1" s="188"/>
      <c r="P1" s="188">
        <f>IF(AND(SkipWeekends, WEEKDAY(M1)=6),M1+3, M1+1)</f>
        <v>42774</v>
      </c>
      <c r="Q1" s="188"/>
      <c r="R1" s="188"/>
      <c r="S1" s="188">
        <f>IF(AND(SkipWeekends, WEEKDAY(P1)=6),P1+3, P1+1)</f>
        <v>42775</v>
      </c>
      <c r="T1" s="188"/>
      <c r="U1" s="188"/>
      <c r="V1" s="188">
        <f>IF(AND(SkipWeekends, WEEKDAY(S1)=6),S1+3, S1+1)</f>
        <v>42776</v>
      </c>
      <c r="W1" s="188"/>
      <c r="X1" s="188"/>
      <c r="Y1" s="188">
        <f>IF(AND(SkipWeekends, WEEKDAY(V1)=6),V1+3, V1+1)</f>
        <v>42777</v>
      </c>
      <c r="Z1" s="188"/>
      <c r="AA1" s="188"/>
      <c r="AB1" s="188">
        <f>IF(AND(SkipWeekends, WEEKDAY(Y1)=6),Y1+3, Y1+1)</f>
        <v>42778</v>
      </c>
      <c r="AC1" s="188"/>
      <c r="AD1" s="188"/>
      <c r="AE1" s="188">
        <f>IF(AND(SkipWeekends, WEEKDAY(AB1)=6),AB1+3, AB1+1)</f>
        <v>42779</v>
      </c>
      <c r="AF1" s="188"/>
      <c r="AG1" s="188"/>
      <c r="AH1" s="188">
        <f>IF(AND(SkipWeekends, WEEKDAY(AE1)=6),AE1+3, AE1+1)</f>
        <v>42780</v>
      </c>
      <c r="AI1" s="188"/>
      <c r="AJ1" s="188"/>
      <c r="AK1" s="188">
        <f>IF(AND(SkipWeekends, WEEKDAY(AH1)=6),AH1+3, AH1+1)</f>
        <v>42781</v>
      </c>
      <c r="AL1" s="188"/>
      <c r="AM1" s="188"/>
      <c r="AN1" s="188">
        <f>IF(AND(SkipWeekends, WEEKDAY(AK1)=6),AK1+3, AK1+1)</f>
        <v>42782</v>
      </c>
      <c r="AO1" s="188"/>
      <c r="AP1" s="188"/>
      <c r="AQ1" s="188">
        <f>IF(AND(SkipWeekends, WEEKDAY(AN1)=6),AN1+3, AN1+1)</f>
        <v>42783</v>
      </c>
      <c r="AR1" s="188"/>
      <c r="AS1" s="188"/>
      <c r="AT1" s="188">
        <f>IF(AND(SkipWeekends, WEEKDAY(AQ1)=6),AQ1+3, AQ1+1)</f>
        <v>42784</v>
      </c>
      <c r="AU1" s="188"/>
      <c r="AV1" s="188"/>
      <c r="AW1" s="188">
        <f>IF(AND(SkipWeekends, WEEKDAY(AT1)=6),AT1+3, AT1+1)</f>
        <v>42785</v>
      </c>
      <c r="AX1" s="188"/>
      <c r="AY1" s="188"/>
      <c r="AZ1" s="188" t="e">
        <f>IF(AND(SkipWeekends, WEEKDAY(#REF!)=6),#REF!+3,#REF!+ 1)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188" t="e">
        <f>IF(AND(SkipWeekends, WEEKDAY(BF1)=6),BF1+3, BF1+1)</f>
        <v>#REF!</v>
      </c>
      <c r="BJ1" s="188"/>
      <c r="BK1" s="188"/>
      <c r="BL1" s="188" t="e">
        <f>IF(AND(SkipWeekends, WEEKDAY(BI1)=6),BI1+3, BI1+1)</f>
        <v>#REF!</v>
      </c>
      <c r="BM1" s="188"/>
      <c r="BN1" s="188"/>
      <c r="BO1" s="188" t="e">
        <f>IF(AND(SkipWeekends, WEEKDAY(BL1)=6),BL1+3, BL1+1)</f>
        <v>#REF!</v>
      </c>
      <c r="BP1" s="188"/>
      <c r="BQ1" s="188"/>
      <c r="BR1" s="188" t="e">
        <f>IF(AND(SkipWeekends, WEEKDAY(BO1)=6),BO1+3, BO1+1)</f>
        <v>#REF!</v>
      </c>
      <c r="BS1" s="188"/>
      <c r="BT1" s="188"/>
      <c r="BU1" s="188" t="e">
        <f>IF(AND(SkipWeekends, WEEKDAY(BR1)=6),BR1+3, BR1+1)</f>
        <v>#REF!</v>
      </c>
      <c r="BV1" s="188"/>
      <c r="BW1" s="188"/>
      <c r="BX1" s="188" t="e">
        <f>IF(AND(SkipWeekends, WEEKDAY(BU1)=6),BU1+3, BU1+1)</f>
        <v>#REF!</v>
      </c>
      <c r="BY1" s="188"/>
      <c r="BZ1" s="188"/>
      <c r="CA1" s="188" t="e">
        <f>IF(AND(SkipWeekends, WEEKDAY(BX1)=6),BX1+3, BX1+1)</f>
        <v>#REF!</v>
      </c>
      <c r="CB1" s="188"/>
      <c r="CC1" s="188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57</v>
      </c>
      <c r="L2" s="10"/>
      <c r="M2" s="10"/>
      <c r="N2" s="10" t="s">
        <v>58</v>
      </c>
      <c r="O2" s="10"/>
      <c r="P2" s="10"/>
      <c r="Q2" s="10" t="s">
        <v>59</v>
      </c>
      <c r="R2" s="10"/>
      <c r="S2" s="10"/>
      <c r="T2" s="10" t="s">
        <v>60</v>
      </c>
      <c r="U2" s="10"/>
      <c r="V2" s="10"/>
      <c r="W2" s="10" t="s">
        <v>61</v>
      </c>
      <c r="X2" s="10"/>
      <c r="Y2" s="10"/>
      <c r="Z2" s="10" t="s">
        <v>62</v>
      </c>
      <c r="AA2" s="10"/>
      <c r="AB2" s="10"/>
      <c r="AC2" s="10" t="s">
        <v>63</v>
      </c>
      <c r="AD2" s="10"/>
      <c r="AE2" s="10"/>
      <c r="AF2" s="10" t="s">
        <v>64</v>
      </c>
      <c r="AG2" s="10"/>
      <c r="AH2" s="10"/>
      <c r="AI2" s="10" t="s">
        <v>65</v>
      </c>
      <c r="AJ2" s="10"/>
      <c r="AK2" s="10"/>
      <c r="AL2" s="10" t="s">
        <v>66</v>
      </c>
      <c r="AM2" s="10"/>
      <c r="AN2" s="10"/>
      <c r="AO2" s="10" t="s">
        <v>67</v>
      </c>
      <c r="AP2" s="10"/>
      <c r="AQ2" s="10"/>
      <c r="AR2" s="10" t="s">
        <v>68</v>
      </c>
      <c r="AS2" s="10"/>
      <c r="AT2" s="10"/>
      <c r="AU2" s="10" t="s">
        <v>69</v>
      </c>
      <c r="AV2" s="10"/>
      <c r="AW2" s="10"/>
      <c r="AX2" s="10" t="s">
        <v>70</v>
      </c>
      <c r="AY2" s="10"/>
      <c r="AZ2" s="10"/>
      <c r="BA2" s="10" t="s">
        <v>71</v>
      </c>
      <c r="BB2" s="10"/>
      <c r="BC2" s="10"/>
      <c r="BD2" s="10" t="s">
        <v>72</v>
      </c>
      <c r="BE2" s="10"/>
      <c r="BF2" s="10"/>
      <c r="BG2" s="10" t="s">
        <v>73</v>
      </c>
      <c r="BH2" s="10"/>
      <c r="BI2" s="10"/>
      <c r="BJ2" s="10" t="s">
        <v>74</v>
      </c>
      <c r="BK2" s="10"/>
      <c r="BL2" s="10"/>
      <c r="BM2" s="10" t="s">
        <v>75</v>
      </c>
      <c r="BN2" s="10"/>
      <c r="BO2" s="10"/>
      <c r="BP2" s="10" t="s">
        <v>76</v>
      </c>
      <c r="BQ2" s="10"/>
      <c r="BR2" s="10"/>
      <c r="BS2" s="10" t="s">
        <v>77</v>
      </c>
      <c r="BT2" s="10"/>
      <c r="BU2" s="10"/>
      <c r="BV2" s="10" t="s">
        <v>78</v>
      </c>
      <c r="BW2" s="10"/>
      <c r="BX2" s="10"/>
      <c r="BY2" s="10" t="s">
        <v>79</v>
      </c>
      <c r="BZ2" s="10"/>
      <c r="CA2" s="10"/>
      <c r="CB2" s="10" t="s">
        <v>80</v>
      </c>
      <c r="CC2" s="10"/>
      <c r="CD2" s="5"/>
      <c r="CE2" s="1"/>
    </row>
    <row r="3" spans="1:83" ht="38.25" customHeight="1" x14ac:dyDescent="0.2">
      <c r="A3" s="11" t="s">
        <v>97</v>
      </c>
      <c r="B3" s="11" t="s">
        <v>98</v>
      </c>
      <c r="C3" s="11" t="s">
        <v>81</v>
      </c>
      <c r="D3" s="11" t="s">
        <v>82</v>
      </c>
      <c r="E3" s="1" t="s">
        <v>83</v>
      </c>
      <c r="F3" s="1" t="s">
        <v>91</v>
      </c>
      <c r="G3" s="1" t="s">
        <v>0</v>
      </c>
      <c r="H3" s="12" t="s">
        <v>1</v>
      </c>
      <c r="I3" s="12" t="s">
        <v>84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100</v>
      </c>
      <c r="B4" s="16" t="s">
        <v>111</v>
      </c>
      <c r="C4" s="16"/>
      <c r="D4" s="17"/>
      <c r="E4" s="178" t="s">
        <v>135</v>
      </c>
      <c r="F4" s="18" t="s">
        <v>130</v>
      </c>
      <c r="G4" s="19" t="str">
        <f t="shared" ref="G4:G61" ca="1" si="0">(INDEX(Burndown,ROW(G4)-ROW(G$3),MIN(TODAY()-SprintStart,29)*3+3))</f>
        <v>In Progress</v>
      </c>
      <c r="H4" s="20">
        <v>1</v>
      </c>
      <c r="I4" s="21">
        <v>4</v>
      </c>
      <c r="J4" s="22">
        <v>1</v>
      </c>
      <c r="K4" s="22">
        <f t="shared" ref="K4" si="1">MAX(I4-J4, 0)</f>
        <v>3</v>
      </c>
      <c r="L4" s="23" t="str">
        <f>IF(SUMPRODUCT($J$64:K$64,$J4:K4)&lt;0.5, "Pending", IF(K4&lt;0.5, "Complete", "In Progress"))</f>
        <v>In Progress</v>
      </c>
      <c r="M4" s="22">
        <v>0</v>
      </c>
      <c r="N4" s="22">
        <f t="shared" ref="N4" si="2">MAX(K4-M4,0)</f>
        <v>3</v>
      </c>
      <c r="O4" s="23" t="str">
        <f>IF(SUMPRODUCT($J$64:N$64,$J4:N4)&lt;0.5, "Pending", IF(N4&lt;0.5, "Complete", "In Progress"))</f>
        <v>In Progress</v>
      </c>
      <c r="P4" s="22">
        <v>0</v>
      </c>
      <c r="Q4" s="22">
        <f t="shared" ref="Q4" si="3">MAX(N4-P4,0)</f>
        <v>3</v>
      </c>
      <c r="R4" s="23" t="str">
        <f>IF(SUMPRODUCT($J$64:Q$64,$J4:Q4)&lt;0.5, "Pending", IF(Q4&lt;0.5, "Complete", "In Progress"))</f>
        <v>In Progress</v>
      </c>
      <c r="S4" s="22">
        <v>0</v>
      </c>
      <c r="T4" s="22">
        <f t="shared" ref="T4" si="4">MAX(Q4-S4,0)</f>
        <v>3</v>
      </c>
      <c r="U4" s="23" t="str">
        <f>IF(SUMPRODUCT($J$64:T$64,$J4:T4)&lt;0.5, "Pending", IF(T4&lt;0.5, "Complete", "In Progress"))</f>
        <v>In Progress</v>
      </c>
      <c r="V4" s="22">
        <v>0</v>
      </c>
      <c r="W4" s="22">
        <f t="shared" ref="W4" si="5">MAX(T4-V4,0)</f>
        <v>3</v>
      </c>
      <c r="X4" s="23" t="str">
        <f>IF(SUMPRODUCT($J$64:W$64,$J4:W4)&lt;0.5, "Pending", IF(W4&lt;0.5, "Complete", "In Progress"))</f>
        <v>In Progress</v>
      </c>
      <c r="Y4" s="22">
        <v>0</v>
      </c>
      <c r="Z4" s="22">
        <f t="shared" ref="Z4" si="6">MAX(W4-Y4,0)</f>
        <v>3</v>
      </c>
      <c r="AA4" s="23" t="str">
        <f>IF(SUMPRODUCT($J$64:Z$64,$J4:Z4)&lt;0.5, "Pending", IF(Z4&lt;0.5, "Complete", "In Progress"))</f>
        <v>In Progress</v>
      </c>
      <c r="AB4" s="22">
        <v>0</v>
      </c>
      <c r="AC4" s="22">
        <f t="shared" ref="AC4" si="7">MAX(Z4-AB4,0)</f>
        <v>3</v>
      </c>
      <c r="AD4" s="23" t="str">
        <f>IF(SUMPRODUCT($J$64:AC$64,$J4:AC4)&lt;0.5, "Pending", IF(AC4&lt;0.5, "Complete", "In Progress"))</f>
        <v>In Progress</v>
      </c>
      <c r="AE4" s="22">
        <v>0</v>
      </c>
      <c r="AF4" s="22">
        <f t="shared" ref="AF4" si="8">MAX(AC4-AE4,0)</f>
        <v>3</v>
      </c>
      <c r="AG4" s="23" t="str">
        <f>IF(SUMPRODUCT($J$64:AF$64,$J4:AF4)&lt;0.5, "Pending", IF(AF4&lt;0.5, "Complete", "In Progress"))</f>
        <v>In Progress</v>
      </c>
      <c r="AH4" s="22">
        <v>0</v>
      </c>
      <c r="AI4" s="22">
        <f t="shared" ref="AI4" si="9">MAX(AF4-AH4,0)</f>
        <v>3</v>
      </c>
      <c r="AJ4" s="23" t="str">
        <f>IF(SUMPRODUCT($J$64:AI$64,$J4:AI4)&lt;0.5, "Pending", IF(AI4&lt;0.5, "Complete", "In Progress"))</f>
        <v>In Progress</v>
      </c>
      <c r="AK4" s="22">
        <v>0</v>
      </c>
      <c r="AL4" s="22">
        <f t="shared" ref="AL4" si="10">MAX(AI4-AK4,0)</f>
        <v>3</v>
      </c>
      <c r="AM4" s="23" t="str">
        <f>IF(SUMPRODUCT($J$64:AL$64,$J4:AL4)&lt;0.5, "Pending", IF(AL4&lt;0.5, "Complete", "In Progress"))</f>
        <v>In Progress</v>
      </c>
      <c r="AN4" s="22">
        <v>0</v>
      </c>
      <c r="AO4" s="22">
        <f t="shared" ref="AO4" si="11">MAX(AL4-AN4,0)</f>
        <v>3</v>
      </c>
      <c r="AP4" s="23" t="str">
        <f>IF(SUMPRODUCT($J$64:AO$64,$J4:AO4)&lt;0.5, "Pending", IF(AO4&lt;0.5, "Complete", "In Progress"))</f>
        <v>In Progress</v>
      </c>
      <c r="AQ4" s="22">
        <v>0</v>
      </c>
      <c r="AR4" s="22">
        <f t="shared" ref="AR4" si="12">MAX(AO4-AQ4,0)</f>
        <v>3</v>
      </c>
      <c r="AS4" s="23" t="str">
        <f>IF(SUMPRODUCT($J$64:AR$64,$J4:AR4)&lt;0.5, "Pending", IF(AR4&lt;0.5, "Complete", "In Progress"))</f>
        <v>In Progress</v>
      </c>
      <c r="AT4" s="22">
        <v>0</v>
      </c>
      <c r="AU4" s="22">
        <f t="shared" ref="AU4" si="13">MAX(AR4-AT4,0)</f>
        <v>3</v>
      </c>
      <c r="AV4" s="23" t="str">
        <f>IF(SUMPRODUCT($J$64:AU$64,$J4:AU4)&lt;0.5, "Pending", IF(AU4&lt;0.5, "Complete", "In Progress"))</f>
        <v>In Progress</v>
      </c>
      <c r="AW4" s="22">
        <v>0</v>
      </c>
      <c r="AX4" s="22">
        <f t="shared" ref="AX4" si="14">MAX(AU4-AW4,0)</f>
        <v>3</v>
      </c>
      <c r="AY4" s="23" t="str">
        <f>IF(SUMPRODUCT($J$64:AX$64,$J4:AX4)&lt;0.5, "Pending", IF(AX4&lt;0.5, "Complete", "In Progress"))</f>
        <v>In Progress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1</v>
      </c>
    </row>
    <row r="5" spans="1:83" x14ac:dyDescent="0.2">
      <c r="A5" s="16" t="s">
        <v>100</v>
      </c>
      <c r="B5" s="16" t="s">
        <v>111</v>
      </c>
      <c r="C5" s="16"/>
      <c r="D5" s="17"/>
      <c r="E5" s="178" t="s">
        <v>136</v>
      </c>
      <c r="F5" s="18" t="s">
        <v>134</v>
      </c>
      <c r="G5" s="19" t="str">
        <f t="shared" ca="1" si="0"/>
        <v>In Progress</v>
      </c>
      <c r="H5" s="20">
        <v>1</v>
      </c>
      <c r="I5" s="21">
        <v>4</v>
      </c>
      <c r="J5" s="22">
        <v>1</v>
      </c>
      <c r="K5" s="22">
        <f t="shared" ref="K5:K60" si="24">MAX(I5-J5, 0)</f>
        <v>3</v>
      </c>
      <c r="L5" s="23" t="str">
        <f>IF(SUMPRODUCT($J$64:K$64,$J5:K5)&lt;0.5, "Pending", IF(K5&lt;0.5, "Complete", "In Progress"))</f>
        <v>In Progress</v>
      </c>
      <c r="M5" s="22">
        <v>0</v>
      </c>
      <c r="N5" s="22">
        <f t="shared" ref="N5:N60" si="25">MAX(K5-M5,0)</f>
        <v>3</v>
      </c>
      <c r="O5" s="23" t="str">
        <f>IF(SUMPRODUCT($J$64:N$64,$J5:N5)&lt;0.5, "Pending", IF(N5&lt;0.5, "Complete", "In Progress"))</f>
        <v>In Progress</v>
      </c>
      <c r="P5" s="22">
        <v>0</v>
      </c>
      <c r="Q5" s="22">
        <f t="shared" ref="Q5:Q60" si="26">MAX(N5-P5,0)</f>
        <v>3</v>
      </c>
      <c r="R5" s="23" t="str">
        <f>IF(SUMPRODUCT($J$64:Q$64,$J5:Q5)&lt;0.5, "Pending", IF(Q5&lt;0.5, "Complete", "In Progress"))</f>
        <v>In Progress</v>
      </c>
      <c r="S5" s="22">
        <v>0</v>
      </c>
      <c r="T5" s="22">
        <f t="shared" ref="T5:T60" si="27">MAX(Q5-S5,0)</f>
        <v>3</v>
      </c>
      <c r="U5" s="23" t="str">
        <f>IF(SUMPRODUCT($J$64:T$64,$J5:T5)&lt;0.5, "Pending", IF(T5&lt;0.5, "Complete", "In Progress"))</f>
        <v>In Progress</v>
      </c>
      <c r="V5" s="22">
        <v>0</v>
      </c>
      <c r="W5" s="22">
        <f t="shared" ref="W5:W60" si="28">MAX(T5-V5,0)</f>
        <v>3</v>
      </c>
      <c r="X5" s="23" t="str">
        <f>IF(SUMPRODUCT($J$64:W$64,$J5:W5)&lt;0.5, "Pending", IF(W5&lt;0.5, "Complete", "In Progress"))</f>
        <v>In Progress</v>
      </c>
      <c r="Y5" s="22">
        <v>0</v>
      </c>
      <c r="Z5" s="22">
        <f t="shared" ref="Z5:Z60" si="29">MAX(W5-Y5,0)</f>
        <v>3</v>
      </c>
      <c r="AA5" s="23" t="str">
        <f>IF(SUMPRODUCT($J$64:Z$64,$J5:Z5)&lt;0.5, "Pending", IF(Z5&lt;0.5, "Complete", "In Progress"))</f>
        <v>In Progress</v>
      </c>
      <c r="AB5" s="22">
        <v>0</v>
      </c>
      <c r="AC5" s="22">
        <f t="shared" ref="AC5:AC60" si="30">MAX(Z5-AB5,0)</f>
        <v>3</v>
      </c>
      <c r="AD5" s="23" t="str">
        <f>IF(SUMPRODUCT($J$64:AC$64,$J5:AC5)&lt;0.5, "Pending", IF(AC5&lt;0.5, "Complete", "In Progress"))</f>
        <v>In Progress</v>
      </c>
      <c r="AE5" s="22">
        <v>0</v>
      </c>
      <c r="AF5" s="22">
        <f t="shared" ref="AF5:AF60" si="31">MAX(AC5-AE5,0)</f>
        <v>3</v>
      </c>
      <c r="AG5" s="23" t="str">
        <f>IF(SUMPRODUCT($J$64:AF$64,$J5:AF5)&lt;0.5, "Pending", IF(AF5&lt;0.5, "Complete", "In Progress"))</f>
        <v>In Progress</v>
      </c>
      <c r="AH5" s="22">
        <v>0</v>
      </c>
      <c r="AI5" s="22">
        <f t="shared" ref="AI5:AI60" si="32">MAX(AF5-AH5,0)</f>
        <v>3</v>
      </c>
      <c r="AJ5" s="23" t="str">
        <f>IF(SUMPRODUCT($J$64:AI$64,$J5:AI5)&lt;0.5, "Pending", IF(AI5&lt;0.5, "Complete", "In Progress"))</f>
        <v>In Progress</v>
      </c>
      <c r="AK5" s="22">
        <v>0</v>
      </c>
      <c r="AL5" s="22">
        <f t="shared" ref="AL5:AL60" si="33">MAX(AI5-AK5,0)</f>
        <v>3</v>
      </c>
      <c r="AM5" s="23" t="str">
        <f>IF(SUMPRODUCT($J$64:AL$64,$J5:AL5)&lt;0.5, "Pending", IF(AL5&lt;0.5, "Complete", "In Progress"))</f>
        <v>In Progress</v>
      </c>
      <c r="AN5" s="22">
        <v>0</v>
      </c>
      <c r="AO5" s="22">
        <f t="shared" ref="AO5:AO60" si="34">MAX(AL5-AN5,0)</f>
        <v>3</v>
      </c>
      <c r="AP5" s="23" t="str">
        <f>IF(SUMPRODUCT($J$64:AO$64,$J5:AO5)&lt;0.5, "Pending", IF(AO5&lt;0.5, "Complete", "In Progress"))</f>
        <v>In Progress</v>
      </c>
      <c r="AQ5" s="22">
        <v>0</v>
      </c>
      <c r="AR5" s="22">
        <f t="shared" ref="AR5:AR60" si="35">MAX(AO5-AQ5,0)</f>
        <v>3</v>
      </c>
      <c r="AS5" s="23" t="str">
        <f>IF(SUMPRODUCT($J$64:AR$64,$J5:AR5)&lt;0.5, "Pending", IF(AR5&lt;0.5, "Complete", "In Progress"))</f>
        <v>In Progress</v>
      </c>
      <c r="AT5" s="22">
        <v>0</v>
      </c>
      <c r="AU5" s="22">
        <f t="shared" ref="AU5:AU60" si="36">MAX(AR5-AT5,0)</f>
        <v>3</v>
      </c>
      <c r="AV5" s="23" t="str">
        <f>IF(SUMPRODUCT($J$64:AU$64,$J5:AU5)&lt;0.5, "Pending", IF(AU5&lt;0.5, "Complete", "In Progress"))</f>
        <v>In Progress</v>
      </c>
      <c r="AW5" s="22">
        <v>0</v>
      </c>
      <c r="AX5" s="22">
        <f t="shared" ref="AX5:AX60" si="37">MAX(AU5-AW5,0)</f>
        <v>3</v>
      </c>
      <c r="AY5" s="23" t="str">
        <f>IF(SUMPRODUCT($J$64:AX$64,$J5:AX5)&lt;0.5, "Pending", IF(AX5&lt;0.5, "Complete", "In Progress"))</f>
        <v>In Progress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8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9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40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1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2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3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4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5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6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1</v>
      </c>
    </row>
    <row r="6" spans="1:83" x14ac:dyDescent="0.2">
      <c r="A6" s="16"/>
      <c r="B6" s="16"/>
      <c r="C6" s="16"/>
      <c r="D6" s="17"/>
      <c r="E6" s="178"/>
      <c r="F6" s="18" t="s">
        <v>128</v>
      </c>
      <c r="G6" s="19" t="str">
        <f t="shared" ca="1" si="0"/>
        <v>Pending</v>
      </c>
      <c r="H6" s="20">
        <v>1</v>
      </c>
      <c r="I6" s="21">
        <v>0</v>
      </c>
      <c r="J6" s="22">
        <v>0</v>
      </c>
      <c r="K6" s="22">
        <f t="shared" si="24"/>
        <v>0</v>
      </c>
      <c r="L6" s="23" t="str">
        <f>IF(SUMPRODUCT($J$64:K$64,$J6:K6)&lt;0.5, "Pending", IF(K6&lt;0.5, "Complete", "In Progress"))</f>
        <v>Pending</v>
      </c>
      <c r="M6" s="22">
        <v>0</v>
      </c>
      <c r="N6" s="22">
        <f t="shared" si="25"/>
        <v>0</v>
      </c>
      <c r="O6" s="23" t="str">
        <f>IF(SUMPRODUCT($J$64:N$64,$J6:N6)&lt;0.5, "Pending", IF(N6&lt;0.5, "Complete", "In Progress"))</f>
        <v>Pending</v>
      </c>
      <c r="P6" s="22">
        <v>0</v>
      </c>
      <c r="Q6" s="22">
        <f t="shared" si="26"/>
        <v>0</v>
      </c>
      <c r="R6" s="23" t="str">
        <f>IF(SUMPRODUCT($J$64:Q$64,$J6:Q6)&lt;0.5, "Pending", IF(Q6&lt;0.5, "Complete", "In Progress"))</f>
        <v>Pending</v>
      </c>
      <c r="S6" s="22">
        <v>0</v>
      </c>
      <c r="T6" s="22">
        <f t="shared" si="27"/>
        <v>0</v>
      </c>
      <c r="U6" s="23" t="str">
        <f>IF(SUMPRODUCT($J$64:T$64,$J6:T6)&lt;0.5, "Pending", IF(T6&lt;0.5, "Complete", "In Progress"))</f>
        <v>Pending</v>
      </c>
      <c r="V6" s="22">
        <v>0</v>
      </c>
      <c r="W6" s="22">
        <f t="shared" si="28"/>
        <v>0</v>
      </c>
      <c r="X6" s="23" t="str">
        <f>IF(SUMPRODUCT($J$64:W$64,$J6:W6)&lt;0.5, "Pending", IF(W6&lt;0.5, "Complete", "In Progress"))</f>
        <v>Pending</v>
      </c>
      <c r="Y6" s="22">
        <v>0</v>
      </c>
      <c r="Z6" s="22">
        <f t="shared" si="29"/>
        <v>0</v>
      </c>
      <c r="AA6" s="23" t="str">
        <f>IF(SUMPRODUCT($J$64:Z$64,$J6:Z6)&lt;0.5, "Pending", IF(Z6&lt;0.5, "Complete", "In Progress"))</f>
        <v>Pending</v>
      </c>
      <c r="AB6" s="22">
        <v>0</v>
      </c>
      <c r="AC6" s="22">
        <f t="shared" si="30"/>
        <v>0</v>
      </c>
      <c r="AD6" s="23" t="str">
        <f>IF(SUMPRODUCT($J$64:AC$64,$J6:AC6)&lt;0.5, "Pending", IF(AC6&lt;0.5, "Complete", "In Progress"))</f>
        <v>Pending</v>
      </c>
      <c r="AE6" s="22">
        <v>0</v>
      </c>
      <c r="AF6" s="22">
        <f t="shared" si="31"/>
        <v>0</v>
      </c>
      <c r="AG6" s="23" t="str">
        <f>IF(SUMPRODUCT($J$64:AF$64,$J6:AF6)&lt;0.5, "Pending", IF(AF6&lt;0.5, "Complete", "In Progress"))</f>
        <v>Pending</v>
      </c>
      <c r="AH6" s="22">
        <v>0</v>
      </c>
      <c r="AI6" s="22">
        <f t="shared" si="32"/>
        <v>0</v>
      </c>
      <c r="AJ6" s="23" t="str">
        <f>IF(SUMPRODUCT($J$64:AI$64,$J6:AI6)&lt;0.5, "Pending", IF(AI6&lt;0.5, "Complete", "In Progress"))</f>
        <v>Pending</v>
      </c>
      <c r="AK6" s="22">
        <v>0</v>
      </c>
      <c r="AL6" s="22">
        <f t="shared" si="33"/>
        <v>0</v>
      </c>
      <c r="AM6" s="23" t="str">
        <f>IF(SUMPRODUCT($J$64:AL$64,$J6:AL6)&lt;0.5, "Pending", IF(AL6&lt;0.5, "Complete", "In Progress"))</f>
        <v>Pending</v>
      </c>
      <c r="AN6" s="22">
        <v>0</v>
      </c>
      <c r="AO6" s="22">
        <f t="shared" si="34"/>
        <v>0</v>
      </c>
      <c r="AP6" s="23" t="str">
        <f>IF(SUMPRODUCT($J$64:AO$64,$J6:AO6)&lt;0.5, "Pending", IF(AO6&lt;0.5, "Complete", "In Progress"))</f>
        <v>Pending</v>
      </c>
      <c r="AQ6" s="22">
        <v>0</v>
      </c>
      <c r="AR6" s="22">
        <f t="shared" si="35"/>
        <v>0</v>
      </c>
      <c r="AS6" s="23" t="str">
        <f>IF(SUMPRODUCT($J$64:AR$64,$J6:AR6)&lt;0.5, "Pending", IF(AR6&lt;0.5, "Complete", "In Progress"))</f>
        <v>Pending</v>
      </c>
      <c r="AT6" s="22">
        <v>0</v>
      </c>
      <c r="AU6" s="22">
        <f t="shared" si="36"/>
        <v>0</v>
      </c>
      <c r="AV6" s="23" t="str">
        <f>IF(SUMPRODUCT($J$64:AU$64,$J6:AU6)&lt;0.5, "Pending", IF(AU6&lt;0.5, "Complete", "In Progress"))</f>
        <v>Pending</v>
      </c>
      <c r="AW6" s="22">
        <v>0</v>
      </c>
      <c r="AX6" s="22">
        <f t="shared" si="37"/>
        <v>0</v>
      </c>
      <c r="AY6" s="23" t="str">
        <f>IF(SUMPRODUCT($J$64:AX$64,$J6:AX6)&lt;0.5,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0</v>
      </c>
    </row>
    <row r="7" spans="1:83" x14ac:dyDescent="0.2">
      <c r="A7" s="16"/>
      <c r="B7" s="16"/>
      <c r="C7" s="16"/>
      <c r="D7" s="17"/>
      <c r="E7" s="178"/>
      <c r="F7" s="18" t="s">
        <v>128</v>
      </c>
      <c r="G7" s="19" t="str">
        <f t="shared" ca="1" si="0"/>
        <v>Pending</v>
      </c>
      <c r="H7" s="20">
        <v>1</v>
      </c>
      <c r="I7" s="21">
        <v>0</v>
      </c>
      <c r="J7" s="22">
        <v>0</v>
      </c>
      <c r="K7" s="22">
        <f t="shared" si="24"/>
        <v>0</v>
      </c>
      <c r="L7" s="23" t="str">
        <f>IF(SUMPRODUCT($J$64:K$64,$J7:K7)&lt;0.5, "Pending", IF(K7&lt;0.5, "Complete", "In Progress"))</f>
        <v>Pending</v>
      </c>
      <c r="M7" s="22">
        <v>0</v>
      </c>
      <c r="N7" s="22">
        <f t="shared" si="25"/>
        <v>0</v>
      </c>
      <c r="O7" s="23" t="str">
        <f>IF(SUMPRODUCT($J$64:N$64,$J7:N7)&lt;0.5, "Pending", IF(N7&lt;0.5, "Complete", "In Progress"))</f>
        <v>Pending</v>
      </c>
      <c r="P7" s="22">
        <v>0</v>
      </c>
      <c r="Q7" s="22">
        <f t="shared" si="26"/>
        <v>0</v>
      </c>
      <c r="R7" s="23" t="str">
        <f>IF(SUMPRODUCT($J$64:Q$64,$J7:Q7)&lt;0.5, "Pending", IF(Q7&lt;0.5, "Complete", "In Progress"))</f>
        <v>Pending</v>
      </c>
      <c r="S7" s="22">
        <v>0</v>
      </c>
      <c r="T7" s="22">
        <f t="shared" si="27"/>
        <v>0</v>
      </c>
      <c r="U7" s="23" t="str">
        <f>IF(SUMPRODUCT($J$64:T$64,$J7:T7)&lt;0.5, "Pending", IF(T7&lt;0.5, "Complete", "In Progress"))</f>
        <v>Pending</v>
      </c>
      <c r="V7" s="22">
        <v>0</v>
      </c>
      <c r="W7" s="22">
        <f t="shared" si="28"/>
        <v>0</v>
      </c>
      <c r="X7" s="23" t="str">
        <f>IF(SUMPRODUCT($J$64:W$64,$J7:W7)&lt;0.5, "Pending", IF(W7&lt;0.5, "Complete", "In Progress"))</f>
        <v>Pending</v>
      </c>
      <c r="Y7" s="22">
        <v>0</v>
      </c>
      <c r="Z7" s="22">
        <f t="shared" si="29"/>
        <v>0</v>
      </c>
      <c r="AA7" s="23" t="str">
        <f>IF(SUMPRODUCT($J$64:Z$64,$J7:Z7)&lt;0.5, "Pending", IF(Z7&lt;0.5, "Complete", "In Progress"))</f>
        <v>Pending</v>
      </c>
      <c r="AB7" s="22">
        <v>0</v>
      </c>
      <c r="AC7" s="22">
        <f t="shared" si="30"/>
        <v>0</v>
      </c>
      <c r="AD7" s="23" t="str">
        <f>IF(SUMPRODUCT($J$64:AC$64,$J7:AC7)&lt;0.5, "Pending", IF(AC7&lt;0.5, "Complete", "In Progress"))</f>
        <v>Pending</v>
      </c>
      <c r="AE7" s="22">
        <v>0</v>
      </c>
      <c r="AF7" s="22">
        <f t="shared" si="31"/>
        <v>0</v>
      </c>
      <c r="AG7" s="23" t="str">
        <f>IF(SUMPRODUCT($J$64:AF$64,$J7:AF7)&lt;0.5, "Pending", IF(AF7&lt;0.5, "Complete", "In Progress"))</f>
        <v>Pending</v>
      </c>
      <c r="AH7" s="22">
        <v>0</v>
      </c>
      <c r="AI7" s="22">
        <f t="shared" si="32"/>
        <v>0</v>
      </c>
      <c r="AJ7" s="23" t="str">
        <f>IF(SUMPRODUCT($J$64:AI$64,$J7:AI7)&lt;0.5, "Pending", IF(AI7&lt;0.5, "Complete", "In Progress"))</f>
        <v>Pending</v>
      </c>
      <c r="AK7" s="22">
        <v>0</v>
      </c>
      <c r="AL7" s="22">
        <f t="shared" si="33"/>
        <v>0</v>
      </c>
      <c r="AM7" s="23" t="str">
        <f>IF(SUMPRODUCT($J$64:AL$64,$J7:AL7)&lt;0.5, "Pending", IF(AL7&lt;0.5, "Complete", "In Progress"))</f>
        <v>Pending</v>
      </c>
      <c r="AN7" s="22">
        <v>0</v>
      </c>
      <c r="AO7" s="22">
        <f t="shared" si="34"/>
        <v>0</v>
      </c>
      <c r="AP7" s="23" t="str">
        <f>IF(SUMPRODUCT($J$64:AO$64,$J7:AO7)&lt;0.5, "Pending", IF(AO7&lt;0.5, "Complete", "In Progress"))</f>
        <v>Pending</v>
      </c>
      <c r="AQ7" s="22">
        <v>0</v>
      </c>
      <c r="AR7" s="22">
        <f t="shared" si="35"/>
        <v>0</v>
      </c>
      <c r="AS7" s="23" t="str">
        <f>IF(SUMPRODUCT($J$64:AR$64,$J7:AR7)&lt;0.5, "Pending", IF(AR7&lt;0.5, "Complete", "In Progress"))</f>
        <v>Pending</v>
      </c>
      <c r="AT7" s="22">
        <v>0</v>
      </c>
      <c r="AU7" s="22">
        <f t="shared" si="36"/>
        <v>0</v>
      </c>
      <c r="AV7" s="23" t="str">
        <f>IF(SUMPRODUCT($J$64:AU$64,$J7:AU7)&lt;0.5, "Pending", IF(AU7&lt;0.5, "Complete", "In Progress"))</f>
        <v>Pending</v>
      </c>
      <c r="AW7" s="22">
        <v>0</v>
      </c>
      <c r="AX7" s="22">
        <f t="shared" si="37"/>
        <v>0</v>
      </c>
      <c r="AY7" s="23" t="str">
        <f>IF(SUMPRODUCT($J$64:AX$64,$J7:AX7)&lt;0.5,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0</v>
      </c>
    </row>
    <row r="8" spans="1:83" x14ac:dyDescent="0.2">
      <c r="A8" s="16"/>
      <c r="B8" s="16"/>
      <c r="C8" s="16"/>
      <c r="D8" s="17"/>
      <c r="E8" s="178"/>
      <c r="F8" s="18" t="s">
        <v>128</v>
      </c>
      <c r="G8" s="19" t="str">
        <f t="shared" ca="1" si="0"/>
        <v>Pending</v>
      </c>
      <c r="H8" s="20">
        <v>1</v>
      </c>
      <c r="I8" s="21">
        <v>0</v>
      </c>
      <c r="J8" s="22">
        <v>0</v>
      </c>
      <c r="K8" s="22">
        <f t="shared" si="24"/>
        <v>0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25"/>
        <v>0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6"/>
        <v>0</v>
      </c>
      <c r="R8" s="23" t="str">
        <f>IF(SUMPRODUCT($J$64:Q$64,$J8:Q8)&lt;0.5, "Pending", IF(Q8&lt;0.5, "Complete", "In Progress"))</f>
        <v>Pending</v>
      </c>
      <c r="S8" s="22">
        <v>0</v>
      </c>
      <c r="T8" s="22">
        <f t="shared" si="27"/>
        <v>0</v>
      </c>
      <c r="U8" s="23" t="str">
        <f>IF(SUMPRODUCT($J$64:T$64,$J8:T8)&lt;0.5, "Pending", IF(T8&lt;0.5, "Complete", "In Progress"))</f>
        <v>Pending</v>
      </c>
      <c r="V8" s="22">
        <v>0</v>
      </c>
      <c r="W8" s="22">
        <f t="shared" si="28"/>
        <v>0</v>
      </c>
      <c r="X8" s="23" t="str">
        <f>IF(SUMPRODUCT($J$64:W$64,$J8:W8)&lt;0.5, "Pending", IF(W8&lt;0.5, "Complete", "In Progress"))</f>
        <v>Pending</v>
      </c>
      <c r="Y8" s="22">
        <v>0</v>
      </c>
      <c r="Z8" s="22">
        <f t="shared" si="29"/>
        <v>0</v>
      </c>
      <c r="AA8" s="23" t="str">
        <f>IF(SUMPRODUCT($J$64:Z$64,$J8:Z8)&lt;0.5, "Pending", IF(Z8&lt;0.5, "Complete", "In Progress"))</f>
        <v>Pending</v>
      </c>
      <c r="AB8" s="22">
        <v>0</v>
      </c>
      <c r="AC8" s="22">
        <f t="shared" si="30"/>
        <v>0</v>
      </c>
      <c r="AD8" s="23" t="str">
        <f>IF(SUMPRODUCT($J$64:AC$64,$J8:AC8)&lt;0.5, "Pending", IF(AC8&lt;0.5, "Complete", "In Progress"))</f>
        <v>Pending</v>
      </c>
      <c r="AE8" s="22">
        <v>0</v>
      </c>
      <c r="AF8" s="22">
        <f t="shared" si="31"/>
        <v>0</v>
      </c>
      <c r="AG8" s="23" t="str">
        <f>IF(SUMPRODUCT($J$64:AF$64,$J8:AF8)&lt;0.5, "Pending", IF(AF8&lt;0.5, "Complete", "In Progress"))</f>
        <v>Pending</v>
      </c>
      <c r="AH8" s="22">
        <v>0</v>
      </c>
      <c r="AI8" s="22">
        <f t="shared" si="32"/>
        <v>0</v>
      </c>
      <c r="AJ8" s="23" t="str">
        <f>IF(SUMPRODUCT($J$64:AI$64,$J8:AI8)&lt;0.5, "Pending", IF(AI8&lt;0.5, "Complete", "In Progress"))</f>
        <v>Pending</v>
      </c>
      <c r="AK8" s="22">
        <v>0</v>
      </c>
      <c r="AL8" s="22">
        <f t="shared" si="33"/>
        <v>0</v>
      </c>
      <c r="AM8" s="23" t="str">
        <f>IF(SUMPRODUCT($J$64:AL$64,$J8:AL8)&lt;0.5, "Pending", IF(AL8&lt;0.5, "Complete", "In Progress"))</f>
        <v>Pending</v>
      </c>
      <c r="AN8" s="22">
        <v>0</v>
      </c>
      <c r="AO8" s="22">
        <f t="shared" si="34"/>
        <v>0</v>
      </c>
      <c r="AP8" s="23" t="str">
        <f>IF(SUMPRODUCT($J$64:AO$64,$J8:AO8)&lt;0.5, "Pending", IF(AO8&lt;0.5, "Complete", "In Progress"))</f>
        <v>Pending</v>
      </c>
      <c r="AQ8" s="22">
        <v>0</v>
      </c>
      <c r="AR8" s="22">
        <f t="shared" si="35"/>
        <v>0</v>
      </c>
      <c r="AS8" s="23" t="str">
        <f>IF(SUMPRODUCT($J$64:AR$64,$J8:AR8)&lt;0.5, "Pending", IF(AR8&lt;0.5, "Complete", "In Progress"))</f>
        <v>Pending</v>
      </c>
      <c r="AT8" s="22">
        <v>0</v>
      </c>
      <c r="AU8" s="22">
        <f t="shared" si="36"/>
        <v>0</v>
      </c>
      <c r="AV8" s="23" t="str">
        <f>IF(SUMPRODUCT($J$64:AU$64,$J8:AU8)&lt;0.5, "Pending", IF(AU8&lt;0.5, "Complete", "In Progress"))</f>
        <v>Pending</v>
      </c>
      <c r="AW8" s="22">
        <v>0</v>
      </c>
      <c r="AX8" s="22">
        <f t="shared" si="37"/>
        <v>0</v>
      </c>
      <c r="AY8" s="23" t="str">
        <f>IF(SUMPRODUCT($J$64:AX$64,$J8:AX8)&lt;0.5,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0</v>
      </c>
    </row>
    <row r="9" spans="1:83" x14ac:dyDescent="0.2">
      <c r="A9" s="16"/>
      <c r="B9" s="16"/>
      <c r="C9" s="16"/>
      <c r="D9" s="17"/>
      <c r="E9" s="178"/>
      <c r="F9" s="18" t="s">
        <v>128</v>
      </c>
      <c r="G9" s="19" t="str">
        <f t="shared" ca="1" si="0"/>
        <v>Pending</v>
      </c>
      <c r="H9" s="20">
        <v>1</v>
      </c>
      <c r="I9" s="21">
        <v>0</v>
      </c>
      <c r="J9" s="22">
        <v>0</v>
      </c>
      <c r="K9" s="22">
        <f t="shared" si="24"/>
        <v>0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5"/>
        <v>0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6"/>
        <v>0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7"/>
        <v>0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28"/>
        <v>0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9"/>
        <v>0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30"/>
        <v>0</v>
      </c>
      <c r="AD9" s="23" t="str">
        <f>IF(SUMPRODUCT($J$64:AC$64,$J9:AC9)&lt;0.5, "Pending", IF(AC9&lt;0.5, "Complete", "In Progress"))</f>
        <v>Pending</v>
      </c>
      <c r="AE9" s="22">
        <v>0</v>
      </c>
      <c r="AF9" s="22">
        <f t="shared" si="31"/>
        <v>0</v>
      </c>
      <c r="AG9" s="23" t="str">
        <f>IF(SUMPRODUCT($J$64:AF$64,$J9:AF9)&lt;0.5, "Pending", IF(AF9&lt;0.5, "Complete", "In Progress"))</f>
        <v>Pending</v>
      </c>
      <c r="AH9" s="22">
        <v>0</v>
      </c>
      <c r="AI9" s="22">
        <f t="shared" si="32"/>
        <v>0</v>
      </c>
      <c r="AJ9" s="23" t="str">
        <f>IF(SUMPRODUCT($J$64:AI$64,$J9:AI9)&lt;0.5, "Pending", IF(AI9&lt;0.5, "Complete", "In Progress"))</f>
        <v>Pending</v>
      </c>
      <c r="AK9" s="22">
        <v>0</v>
      </c>
      <c r="AL9" s="22">
        <f t="shared" si="33"/>
        <v>0</v>
      </c>
      <c r="AM9" s="23" t="str">
        <f>IF(SUMPRODUCT($J$64:AL$64,$J9:AL9)&lt;0.5, "Pending", IF(AL9&lt;0.5, "Complete", "In Progress"))</f>
        <v>Pending</v>
      </c>
      <c r="AN9" s="22">
        <v>0</v>
      </c>
      <c r="AO9" s="22">
        <f t="shared" si="34"/>
        <v>0</v>
      </c>
      <c r="AP9" s="23" t="str">
        <f>IF(SUMPRODUCT($J$64:AO$64,$J9:AO9)&lt;0.5, "Pending", IF(AO9&lt;0.5, "Complete", "In Progress"))</f>
        <v>Pending</v>
      </c>
      <c r="AQ9" s="22">
        <v>0</v>
      </c>
      <c r="AR9" s="22">
        <f t="shared" si="35"/>
        <v>0</v>
      </c>
      <c r="AS9" s="23" t="str">
        <f>IF(SUMPRODUCT($J$64:AR$64,$J9:AR9)&lt;0.5, "Pending", IF(AR9&lt;0.5, "Complete", "In Progress"))</f>
        <v>Pending</v>
      </c>
      <c r="AT9" s="22">
        <v>0</v>
      </c>
      <c r="AU9" s="22">
        <f t="shared" si="36"/>
        <v>0</v>
      </c>
      <c r="AV9" s="23" t="str">
        <f>IF(SUMPRODUCT($J$64:AU$64,$J9:AU9)&lt;0.5, "Pending", IF(AU9&lt;0.5, "Complete", "In Progress"))</f>
        <v>Pending</v>
      </c>
      <c r="AW9" s="22">
        <v>0</v>
      </c>
      <c r="AX9" s="22">
        <f t="shared" si="37"/>
        <v>0</v>
      </c>
      <c r="AY9" s="23" t="str">
        <f>IF(SUMPRODUCT($J$64:AX$64,$J9:AX9)&lt;0.5,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0</v>
      </c>
    </row>
    <row r="10" spans="1:83" x14ac:dyDescent="0.2">
      <c r="A10" s="16"/>
      <c r="B10" s="16"/>
      <c r="C10" s="16"/>
      <c r="D10" s="17"/>
      <c r="E10" s="178"/>
      <c r="F10" s="18" t="s">
        <v>128</v>
      </c>
      <c r="G10" s="19" t="str">
        <f t="shared" ca="1" si="0"/>
        <v>Pending</v>
      </c>
      <c r="H10" s="20">
        <v>1</v>
      </c>
      <c r="I10" s="21">
        <v>0</v>
      </c>
      <c r="J10" s="22">
        <v>0</v>
      </c>
      <c r="K10" s="22">
        <f t="shared" si="24"/>
        <v>0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5"/>
        <v>0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6"/>
        <v>0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7"/>
        <v>0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28"/>
        <v>0</v>
      </c>
      <c r="X10" s="23" t="str">
        <f>IF(SUMPRODUCT($J$64:W$64,$J10:W10)&lt;0.5, "Pending", IF(W10&lt;0.5, "Complete", "In Progress"))</f>
        <v>Pending</v>
      </c>
      <c r="Y10" s="22">
        <v>0</v>
      </c>
      <c r="Z10" s="22">
        <f t="shared" si="29"/>
        <v>0</v>
      </c>
      <c r="AA10" s="23" t="str">
        <f>IF(SUMPRODUCT($J$64:Z$64,$J10:Z10)&lt;0.5, "Pending", IF(Z10&lt;0.5, "Complete", "In Progress"))</f>
        <v>Pending</v>
      </c>
      <c r="AB10" s="22">
        <v>0</v>
      </c>
      <c r="AC10" s="22">
        <f t="shared" si="30"/>
        <v>0</v>
      </c>
      <c r="AD10" s="23" t="str">
        <f>IF(SUMPRODUCT($J$64:AC$64,$J10:AC10)&lt;0.5, "Pending", IF(AC10&lt;0.5, "Complete", "In Progress"))</f>
        <v>Pending</v>
      </c>
      <c r="AE10" s="22">
        <v>0</v>
      </c>
      <c r="AF10" s="22">
        <f t="shared" si="31"/>
        <v>0</v>
      </c>
      <c r="AG10" s="23" t="str">
        <f>IF(SUMPRODUCT($J$64:AF$64,$J10:AF10)&lt;0.5, "Pending", IF(AF10&lt;0.5, "Complete", "In Progress"))</f>
        <v>Pending</v>
      </c>
      <c r="AH10" s="22">
        <v>0</v>
      </c>
      <c r="AI10" s="22">
        <f t="shared" si="32"/>
        <v>0</v>
      </c>
      <c r="AJ10" s="23" t="str">
        <f>IF(SUMPRODUCT($J$64:AI$64,$J10:AI10)&lt;0.5, "Pending", IF(AI10&lt;0.5, "Complete", "In Progress"))</f>
        <v>Pending</v>
      </c>
      <c r="AK10" s="22">
        <v>0</v>
      </c>
      <c r="AL10" s="22">
        <f t="shared" si="33"/>
        <v>0</v>
      </c>
      <c r="AM10" s="23" t="str">
        <f>IF(SUMPRODUCT($J$64:AL$64,$J10:AL10)&lt;0.5, "Pending", IF(AL10&lt;0.5, "Complete", "In Progress"))</f>
        <v>Pending</v>
      </c>
      <c r="AN10" s="22">
        <v>0</v>
      </c>
      <c r="AO10" s="22">
        <f t="shared" si="34"/>
        <v>0</v>
      </c>
      <c r="AP10" s="23" t="str">
        <f>IF(SUMPRODUCT($J$64:AO$64,$J10:AO10)&lt;0.5, "Pending", IF(AO10&lt;0.5, "Complete", "In Progress"))</f>
        <v>Pending</v>
      </c>
      <c r="AQ10" s="22">
        <v>0</v>
      </c>
      <c r="AR10" s="22">
        <f t="shared" si="35"/>
        <v>0</v>
      </c>
      <c r="AS10" s="23" t="str">
        <f>IF(SUMPRODUCT($J$64:AR$64,$J10:AR10)&lt;0.5, "Pending", IF(AR10&lt;0.5, "Complete", "In Progress"))</f>
        <v>Pending</v>
      </c>
      <c r="AT10" s="22">
        <v>0</v>
      </c>
      <c r="AU10" s="22">
        <f t="shared" si="36"/>
        <v>0</v>
      </c>
      <c r="AV10" s="23" t="str">
        <f>IF(SUMPRODUCT($J$64:AU$64,$J10:AU10)&lt;0.5, "Pending", IF(AU10&lt;0.5, "Complete", "In Progress"))</f>
        <v>Pending</v>
      </c>
      <c r="AW10" s="22">
        <v>0</v>
      </c>
      <c r="AX10" s="22">
        <f t="shared" si="37"/>
        <v>0</v>
      </c>
      <c r="AY10" s="23" t="str">
        <f>IF(SUMPRODUCT($J$64:AX$64,$J10:AX10)&lt;0.5,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0</v>
      </c>
    </row>
    <row r="11" spans="1:83" x14ac:dyDescent="0.2">
      <c r="A11" s="16"/>
      <c r="B11" s="16"/>
      <c r="C11" s="16"/>
      <c r="D11" s="17"/>
      <c r="E11" s="178"/>
      <c r="F11" s="18" t="s">
        <v>128</v>
      </c>
      <c r="G11" s="19" t="str">
        <f t="shared" ca="1" si="0"/>
        <v>Pending</v>
      </c>
      <c r="H11" s="20">
        <v>1</v>
      </c>
      <c r="I11" s="21">
        <v>0</v>
      </c>
      <c r="J11" s="22">
        <v>0</v>
      </c>
      <c r="K11" s="22">
        <f t="shared" si="24"/>
        <v>0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25"/>
        <v>0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6"/>
        <v>0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27"/>
        <v>0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28"/>
        <v>0</v>
      </c>
      <c r="X11" s="23" t="str">
        <f>IF(SUMPRODUCT($J$64:W$64,$J11:W11)&lt;0.5, "Pending", IF(W11&lt;0.5, "Complete", "In Progress"))</f>
        <v>Pending</v>
      </c>
      <c r="Y11" s="22">
        <v>0</v>
      </c>
      <c r="Z11" s="22">
        <f t="shared" si="29"/>
        <v>0</v>
      </c>
      <c r="AA11" s="23" t="str">
        <f>IF(SUMPRODUCT($J$64:Z$64,$J11:Z11)&lt;0.5, "Pending", IF(Z11&lt;0.5, "Complete", "In Progress"))</f>
        <v>Pending</v>
      </c>
      <c r="AB11" s="22">
        <v>0</v>
      </c>
      <c r="AC11" s="22">
        <f t="shared" si="30"/>
        <v>0</v>
      </c>
      <c r="AD11" s="23" t="str">
        <f>IF(SUMPRODUCT($J$64:AC$64,$J11:AC11)&lt;0.5, "Pending", IF(AC11&lt;0.5, "Complete", "In Progress"))</f>
        <v>Pending</v>
      </c>
      <c r="AE11" s="22">
        <v>0</v>
      </c>
      <c r="AF11" s="22">
        <f t="shared" si="31"/>
        <v>0</v>
      </c>
      <c r="AG11" s="23" t="str">
        <f>IF(SUMPRODUCT($J$64:AF$64,$J11:AF11)&lt;0.5, "Pending", IF(AF11&lt;0.5, "Complete", "In Progress"))</f>
        <v>Pending</v>
      </c>
      <c r="AH11" s="22">
        <v>0</v>
      </c>
      <c r="AI11" s="22">
        <f t="shared" si="32"/>
        <v>0</v>
      </c>
      <c r="AJ11" s="23" t="str">
        <f>IF(SUMPRODUCT($J$64:AI$64,$J11:AI11)&lt;0.5, "Pending", IF(AI11&lt;0.5, "Complete", "In Progress"))</f>
        <v>Pending</v>
      </c>
      <c r="AK11" s="22">
        <v>0</v>
      </c>
      <c r="AL11" s="22">
        <f t="shared" si="33"/>
        <v>0</v>
      </c>
      <c r="AM11" s="23" t="str">
        <f>IF(SUMPRODUCT($J$64:AL$64,$J11:AL11)&lt;0.5, "Pending", IF(AL11&lt;0.5, "Complete", "In Progress"))</f>
        <v>Pending</v>
      </c>
      <c r="AN11" s="22">
        <v>0</v>
      </c>
      <c r="AO11" s="22">
        <f t="shared" si="34"/>
        <v>0</v>
      </c>
      <c r="AP11" s="23" t="str">
        <f>IF(SUMPRODUCT($J$64:AO$64,$J11:AO11)&lt;0.5, "Pending", IF(AO11&lt;0.5, "Complete", "In Progress"))</f>
        <v>Pending</v>
      </c>
      <c r="AQ11" s="22">
        <v>0</v>
      </c>
      <c r="AR11" s="22">
        <f t="shared" si="35"/>
        <v>0</v>
      </c>
      <c r="AS11" s="23" t="str">
        <f>IF(SUMPRODUCT($J$64:AR$64,$J11:AR11)&lt;0.5, "Pending", IF(AR11&lt;0.5, "Complete", "In Progress"))</f>
        <v>Pending</v>
      </c>
      <c r="AT11" s="22">
        <v>0</v>
      </c>
      <c r="AU11" s="22">
        <f t="shared" si="36"/>
        <v>0</v>
      </c>
      <c r="AV11" s="23" t="str">
        <f>IF(SUMPRODUCT($J$64:AU$64,$J11:AU11)&lt;0.5, "Pending", IF(AU11&lt;0.5, "Complete", "In Progress"))</f>
        <v>Pending</v>
      </c>
      <c r="AW11" s="22">
        <v>0</v>
      </c>
      <c r="AX11" s="22">
        <f t="shared" si="37"/>
        <v>0</v>
      </c>
      <c r="AY11" s="23" t="str">
        <f>IF(SUMPRODUCT($J$64:AX$64,$J11:AX11)&lt;0.5,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0</v>
      </c>
    </row>
    <row r="12" spans="1:83" x14ac:dyDescent="0.2">
      <c r="A12" s="16"/>
      <c r="B12" s="16"/>
      <c r="C12" s="16"/>
      <c r="D12" s="17"/>
      <c r="E12" s="178"/>
      <c r="F12" s="18" t="s">
        <v>128</v>
      </c>
      <c r="G12" s="19" t="str">
        <f t="shared" ca="1" si="0"/>
        <v>Pending</v>
      </c>
      <c r="H12" s="20">
        <v>1</v>
      </c>
      <c r="I12" s="21">
        <v>0</v>
      </c>
      <c r="J12" s="22">
        <v>0</v>
      </c>
      <c r="K12" s="22">
        <f t="shared" si="24"/>
        <v>0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5"/>
        <v>0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6"/>
        <v>0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7"/>
        <v>0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8"/>
        <v>0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9"/>
        <v>0</v>
      </c>
      <c r="AA12" s="23" t="str">
        <f>IF(SUMPRODUCT($J$64:Z$64,$J12:Z12)&lt;0.5, "Pending", IF(Z12&lt;0.5, "Complete", "In Progress"))</f>
        <v>Pending</v>
      </c>
      <c r="AB12" s="22">
        <v>0</v>
      </c>
      <c r="AC12" s="22">
        <f t="shared" si="30"/>
        <v>0</v>
      </c>
      <c r="AD12" s="23" t="str">
        <f>IF(SUMPRODUCT($J$64:AC$64,$J12:AC12)&lt;0.5, "Pending", IF(AC12&lt;0.5, "Complete", "In Progress"))</f>
        <v>Pending</v>
      </c>
      <c r="AE12" s="22">
        <v>0</v>
      </c>
      <c r="AF12" s="22">
        <f t="shared" si="31"/>
        <v>0</v>
      </c>
      <c r="AG12" s="23" t="str">
        <f>IF(SUMPRODUCT($J$64:AF$64,$J12:AF12)&lt;0.5, "Pending", IF(AF12&lt;0.5, "Complete", "In Progress"))</f>
        <v>Pending</v>
      </c>
      <c r="AH12" s="22">
        <v>0</v>
      </c>
      <c r="AI12" s="22">
        <f t="shared" si="32"/>
        <v>0</v>
      </c>
      <c r="AJ12" s="23" t="str">
        <f>IF(SUMPRODUCT($J$64:AI$64,$J12:AI12)&lt;0.5, "Pending", IF(AI12&lt;0.5, "Complete", "In Progress"))</f>
        <v>Pending</v>
      </c>
      <c r="AK12" s="22">
        <v>0</v>
      </c>
      <c r="AL12" s="22">
        <f t="shared" si="33"/>
        <v>0</v>
      </c>
      <c r="AM12" s="23" t="str">
        <f>IF(SUMPRODUCT($J$64:AL$64,$J12:AL12)&lt;0.5, "Pending", IF(AL12&lt;0.5, "Complete", "In Progress"))</f>
        <v>Pending</v>
      </c>
      <c r="AN12" s="22">
        <v>0</v>
      </c>
      <c r="AO12" s="22">
        <f t="shared" si="34"/>
        <v>0</v>
      </c>
      <c r="AP12" s="23" t="str">
        <f>IF(SUMPRODUCT($J$64:AO$64,$J12:AO12)&lt;0.5, "Pending", IF(AO12&lt;0.5, "Complete", "In Progress"))</f>
        <v>Pending</v>
      </c>
      <c r="AQ12" s="22">
        <v>0</v>
      </c>
      <c r="AR12" s="22">
        <f t="shared" si="35"/>
        <v>0</v>
      </c>
      <c r="AS12" s="23" t="str">
        <f>IF(SUMPRODUCT($J$64:AR$64,$J12:AR12)&lt;0.5, "Pending", IF(AR12&lt;0.5, "Complete", "In Progress"))</f>
        <v>Pending</v>
      </c>
      <c r="AT12" s="22">
        <v>0</v>
      </c>
      <c r="AU12" s="22">
        <f t="shared" si="36"/>
        <v>0</v>
      </c>
      <c r="AV12" s="23" t="str">
        <f>IF(SUMPRODUCT($J$64:AU$64,$J12:AU12)&lt;0.5, "Pending", IF(AU12&lt;0.5, "Complete", "In Progress"))</f>
        <v>Pending</v>
      </c>
      <c r="AW12" s="22">
        <v>0</v>
      </c>
      <c r="AX12" s="22">
        <f t="shared" si="37"/>
        <v>0</v>
      </c>
      <c r="AY12" s="23" t="str">
        <f>IF(SUMPRODUCT($J$64:AX$64,$J12:AX12)&lt;0.5,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0</v>
      </c>
    </row>
    <row r="13" spans="1:83" x14ac:dyDescent="0.2">
      <c r="A13" s="16"/>
      <c r="B13" s="16"/>
      <c r="C13" s="16"/>
      <c r="D13" s="17"/>
      <c r="E13" s="178"/>
      <c r="F13" s="18" t="s">
        <v>128</v>
      </c>
      <c r="G13" s="19" t="str">
        <f t="shared" ca="1" si="0"/>
        <v>Pending</v>
      </c>
      <c r="H13" s="20">
        <v>1</v>
      </c>
      <c r="I13" s="21">
        <v>0</v>
      </c>
      <c r="J13" s="22">
        <v>0</v>
      </c>
      <c r="K13" s="22">
        <f t="shared" si="24"/>
        <v>0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25"/>
        <v>0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26"/>
        <v>0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27"/>
        <v>0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28"/>
        <v>0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9"/>
        <v>0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30"/>
        <v>0</v>
      </c>
      <c r="AD13" s="23" t="str">
        <f>IF(SUMPRODUCT($J$64:AC$64,$J13:AC13)&lt;0.5, "Pending", IF(AC13&lt;0.5, "Complete", "In Progress"))</f>
        <v>Pending</v>
      </c>
      <c r="AE13" s="22">
        <v>0</v>
      </c>
      <c r="AF13" s="22">
        <f t="shared" si="31"/>
        <v>0</v>
      </c>
      <c r="AG13" s="23" t="str">
        <f>IF(SUMPRODUCT($J$64:AF$64,$J13:AF13)&lt;0.5, "Pending", IF(AF13&lt;0.5, "Complete", "In Progress"))</f>
        <v>Pending</v>
      </c>
      <c r="AH13" s="22">
        <v>0</v>
      </c>
      <c r="AI13" s="22">
        <f t="shared" si="32"/>
        <v>0</v>
      </c>
      <c r="AJ13" s="23" t="str">
        <f>IF(SUMPRODUCT($J$64:AI$64,$J13:AI13)&lt;0.5, "Pending", IF(AI13&lt;0.5, "Complete", "In Progress"))</f>
        <v>Pending</v>
      </c>
      <c r="AK13" s="22">
        <v>0</v>
      </c>
      <c r="AL13" s="22">
        <f t="shared" si="33"/>
        <v>0</v>
      </c>
      <c r="AM13" s="23" t="str">
        <f>IF(SUMPRODUCT($J$64:AL$64,$J13:AL13)&lt;0.5, "Pending", IF(AL13&lt;0.5, "Complete", "In Progress"))</f>
        <v>Pending</v>
      </c>
      <c r="AN13" s="22">
        <v>0</v>
      </c>
      <c r="AO13" s="22">
        <f t="shared" si="34"/>
        <v>0</v>
      </c>
      <c r="AP13" s="23" t="str">
        <f>IF(SUMPRODUCT($J$64:AO$64,$J13:AO13)&lt;0.5, "Pending", IF(AO13&lt;0.5, "Complete", "In Progress"))</f>
        <v>Pending</v>
      </c>
      <c r="AQ13" s="22">
        <v>0</v>
      </c>
      <c r="AR13" s="22">
        <f t="shared" si="35"/>
        <v>0</v>
      </c>
      <c r="AS13" s="23" t="str">
        <f>IF(SUMPRODUCT($J$64:AR$64,$J13:AR13)&lt;0.5, "Pending", IF(AR13&lt;0.5, "Complete", "In Progress"))</f>
        <v>Pending</v>
      </c>
      <c r="AT13" s="22">
        <v>0</v>
      </c>
      <c r="AU13" s="22">
        <f t="shared" si="36"/>
        <v>0</v>
      </c>
      <c r="AV13" s="23" t="str">
        <f>IF(SUMPRODUCT($J$64:AU$64,$J13:AU13)&lt;0.5, "Pending", IF(AU13&lt;0.5, "Complete", "In Progress"))</f>
        <v>Pending</v>
      </c>
      <c r="AW13" s="22">
        <v>0</v>
      </c>
      <c r="AX13" s="22">
        <f t="shared" si="37"/>
        <v>0</v>
      </c>
      <c r="AY13" s="23" t="str">
        <f>IF(SUMPRODUCT($J$64:AX$64,$J13:AX13)&lt;0.5,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0</v>
      </c>
    </row>
    <row r="14" spans="1:83" x14ac:dyDescent="0.2">
      <c r="A14" s="16"/>
      <c r="B14" s="16"/>
      <c r="C14" s="16"/>
      <c r="D14" s="17"/>
      <c r="E14" s="178"/>
      <c r="F14" s="18" t="s">
        <v>128</v>
      </c>
      <c r="G14" s="19" t="str">
        <f t="shared" ca="1" si="0"/>
        <v>Pending</v>
      </c>
      <c r="H14" s="20">
        <v>1</v>
      </c>
      <c r="I14" s="21">
        <v>0</v>
      </c>
      <c r="J14" s="22">
        <v>0</v>
      </c>
      <c r="K14" s="22">
        <f t="shared" si="24"/>
        <v>0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25"/>
        <v>0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6"/>
        <v>0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7"/>
        <v>0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8"/>
        <v>0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9"/>
        <v>0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30"/>
        <v>0</v>
      </c>
      <c r="AD14" s="23" t="str">
        <f>IF(SUMPRODUCT($J$64:AC$64,$J14:AC14)&lt;0.5, "Pending", IF(AC14&lt;0.5, "Complete", "In Progress"))</f>
        <v>Pending</v>
      </c>
      <c r="AE14" s="22">
        <v>0</v>
      </c>
      <c r="AF14" s="22">
        <f t="shared" si="31"/>
        <v>0</v>
      </c>
      <c r="AG14" s="23" t="str">
        <f>IF(SUMPRODUCT($J$64:AF$64,$J14:AF14)&lt;0.5, "Pending", IF(AF14&lt;0.5, "Complete", "In Progress"))</f>
        <v>Pending</v>
      </c>
      <c r="AH14" s="22">
        <v>0</v>
      </c>
      <c r="AI14" s="22">
        <f t="shared" si="32"/>
        <v>0</v>
      </c>
      <c r="AJ14" s="23" t="str">
        <f>IF(SUMPRODUCT($J$64:AI$64,$J14:AI14)&lt;0.5, "Pending", IF(AI14&lt;0.5, "Complete", "In Progress"))</f>
        <v>Pending</v>
      </c>
      <c r="AK14" s="22">
        <v>0</v>
      </c>
      <c r="AL14" s="22">
        <f t="shared" si="33"/>
        <v>0</v>
      </c>
      <c r="AM14" s="23" t="str">
        <f>IF(SUMPRODUCT($J$64:AL$64,$J14:AL14)&lt;0.5, "Pending", IF(AL14&lt;0.5, "Complete", "In Progress"))</f>
        <v>Pending</v>
      </c>
      <c r="AN14" s="22">
        <v>0</v>
      </c>
      <c r="AO14" s="22">
        <f t="shared" si="34"/>
        <v>0</v>
      </c>
      <c r="AP14" s="23" t="str">
        <f>IF(SUMPRODUCT($J$64:AO$64,$J14:AO14)&lt;0.5, "Pending", IF(AO14&lt;0.5, "Complete", "In Progress"))</f>
        <v>Pending</v>
      </c>
      <c r="AQ14" s="22">
        <v>0</v>
      </c>
      <c r="AR14" s="22">
        <f t="shared" si="35"/>
        <v>0</v>
      </c>
      <c r="AS14" s="23" t="str">
        <f>IF(SUMPRODUCT($J$64:AR$64,$J14:AR14)&lt;0.5, "Pending", IF(AR14&lt;0.5, "Complete", "In Progress"))</f>
        <v>Pending</v>
      </c>
      <c r="AT14" s="22">
        <v>0</v>
      </c>
      <c r="AU14" s="22">
        <f t="shared" si="36"/>
        <v>0</v>
      </c>
      <c r="AV14" s="23" t="str">
        <f>IF(SUMPRODUCT($J$64:AU$64,$J14:AU14)&lt;0.5, "Pending", IF(AU14&lt;0.5, "Complete", "In Progress"))</f>
        <v>Pending</v>
      </c>
      <c r="AW14" s="22">
        <v>0</v>
      </c>
      <c r="AX14" s="22">
        <f t="shared" si="37"/>
        <v>0</v>
      </c>
      <c r="AY14" s="23" t="str">
        <f>IF(SUMPRODUCT($J$64:AX$64,$J14:AX14)&lt;0.5,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0</v>
      </c>
    </row>
    <row r="15" spans="1:83" x14ac:dyDescent="0.2">
      <c r="A15" s="16"/>
      <c r="B15" s="16"/>
      <c r="C15" s="16"/>
      <c r="D15" s="17"/>
      <c r="E15" s="178"/>
      <c r="F15" s="18" t="s">
        <v>128</v>
      </c>
      <c r="G15" s="19" t="str">
        <f t="shared" ca="1" si="0"/>
        <v>Pending</v>
      </c>
      <c r="H15" s="20">
        <v>1</v>
      </c>
      <c r="I15" s="21">
        <v>0</v>
      </c>
      <c r="J15" s="22">
        <v>0</v>
      </c>
      <c r="K15" s="22">
        <f t="shared" si="24"/>
        <v>0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5"/>
        <v>0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6"/>
        <v>0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7"/>
        <v>0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8"/>
        <v>0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9"/>
        <v>0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30"/>
        <v>0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31"/>
        <v>0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2"/>
        <v>0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3"/>
        <v>0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4"/>
        <v>0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5"/>
        <v>0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6"/>
        <v>0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7"/>
        <v>0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 x14ac:dyDescent="0.2">
      <c r="A16" s="16"/>
      <c r="B16" s="16"/>
      <c r="C16" s="16"/>
      <c r="D16" s="17"/>
      <c r="E16" s="178"/>
      <c r="F16" s="18" t="s">
        <v>128</v>
      </c>
      <c r="G16" s="19" t="str">
        <f t="shared" ca="1" si="0"/>
        <v>Pending</v>
      </c>
      <c r="H16" s="20">
        <v>1</v>
      </c>
      <c r="I16" s="21">
        <v>0</v>
      </c>
      <c r="J16" s="22">
        <v>0</v>
      </c>
      <c r="K16" s="22">
        <f t="shared" si="24"/>
        <v>0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25"/>
        <v>0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6"/>
        <v>0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7"/>
        <v>0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8"/>
        <v>0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9"/>
        <v>0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30"/>
        <v>0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31"/>
        <v>0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2"/>
        <v>0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3"/>
        <v>0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4"/>
        <v>0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5"/>
        <v>0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6"/>
        <v>0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7"/>
        <v>0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 x14ac:dyDescent="0.2">
      <c r="A17" s="16"/>
      <c r="B17" s="16"/>
      <c r="C17" s="16"/>
      <c r="D17" s="17"/>
      <c r="E17" s="178"/>
      <c r="F17" s="18" t="s">
        <v>128</v>
      </c>
      <c r="G17" s="19" t="str">
        <f t="shared" ca="1" si="0"/>
        <v>Pending</v>
      </c>
      <c r="H17" s="20">
        <v>1</v>
      </c>
      <c r="I17" s="21">
        <v>0</v>
      </c>
      <c r="J17" s="22">
        <v>0</v>
      </c>
      <c r="K17" s="22">
        <f t="shared" si="24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25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6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7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8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9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30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31"/>
        <v>0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2"/>
        <v>0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3"/>
        <v>0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4"/>
        <v>0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5"/>
        <v>0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6"/>
        <v>0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7"/>
        <v>0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 x14ac:dyDescent="0.2">
      <c r="A18" s="16"/>
      <c r="B18" s="16"/>
      <c r="C18" s="16"/>
      <c r="D18" s="17"/>
      <c r="E18" s="178"/>
      <c r="F18" s="18" t="s">
        <v>128</v>
      </c>
      <c r="G18" s="19" t="str">
        <f t="shared" ca="1" si="0"/>
        <v>Pending</v>
      </c>
      <c r="H18" s="20">
        <v>1</v>
      </c>
      <c r="I18" s="21">
        <v>0</v>
      </c>
      <c r="J18" s="22">
        <v>0</v>
      </c>
      <c r="K18" s="22">
        <f t="shared" si="24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25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6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7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8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9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30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31"/>
        <v>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2"/>
        <v>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3"/>
        <v>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4"/>
        <v>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5"/>
        <v>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6"/>
        <v>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7"/>
        <v>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 x14ac:dyDescent="0.2">
      <c r="A19" s="16"/>
      <c r="B19" s="16"/>
      <c r="C19" s="16"/>
      <c r="D19" s="17"/>
      <c r="E19" s="178"/>
      <c r="F19" s="18" t="s">
        <v>128</v>
      </c>
      <c r="G19" s="19" t="str">
        <f t="shared" ca="1" si="0"/>
        <v>Pending</v>
      </c>
      <c r="H19" s="20">
        <v>1</v>
      </c>
      <c r="I19" s="21">
        <v>0</v>
      </c>
      <c r="J19" s="22">
        <v>0</v>
      </c>
      <c r="K19" s="22">
        <f t="shared" si="24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25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6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7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8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9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30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31"/>
        <v>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2"/>
        <v>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3"/>
        <v>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4"/>
        <v>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5"/>
        <v>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6"/>
        <v>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7"/>
        <v>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 x14ac:dyDescent="0.2">
      <c r="A20" s="16"/>
      <c r="B20" s="16"/>
      <c r="C20" s="16"/>
      <c r="D20" s="17"/>
      <c r="E20" s="178"/>
      <c r="F20" s="18" t="s">
        <v>128</v>
      </c>
      <c r="G20" s="19" t="str">
        <f t="shared" ca="1" si="0"/>
        <v>Pending</v>
      </c>
      <c r="H20" s="20">
        <v>1</v>
      </c>
      <c r="I20" s="21">
        <v>0</v>
      </c>
      <c r="J20" s="22">
        <v>0</v>
      </c>
      <c r="K20" s="22">
        <f t="shared" si="24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25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6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7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8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9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30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31"/>
        <v>0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2"/>
        <v>0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3"/>
        <v>0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4"/>
        <v>0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5"/>
        <v>0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6"/>
        <v>0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7"/>
        <v>0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 x14ac:dyDescent="0.2">
      <c r="A21" s="16"/>
      <c r="B21" s="16"/>
      <c r="C21" s="16"/>
      <c r="D21" s="17"/>
      <c r="E21" s="178"/>
      <c r="F21" s="18" t="s">
        <v>128</v>
      </c>
      <c r="G21" s="19" t="str">
        <f t="shared" ca="1" si="0"/>
        <v>Pending</v>
      </c>
      <c r="H21" s="20">
        <v>1</v>
      </c>
      <c r="I21" s="21">
        <v>0</v>
      </c>
      <c r="J21" s="22">
        <v>0</v>
      </c>
      <c r="K21" s="22">
        <f t="shared" si="24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25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6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7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8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9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30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31"/>
        <v>0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2"/>
        <v>0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3"/>
        <v>0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4"/>
        <v>0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5"/>
        <v>0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6"/>
        <v>0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7"/>
        <v>0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8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9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40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1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2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3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4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5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6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 x14ac:dyDescent="0.2">
      <c r="A22" s="16"/>
      <c r="B22" s="16"/>
      <c r="C22" s="16"/>
      <c r="D22" s="17"/>
      <c r="E22" s="178"/>
      <c r="F22" s="18" t="s">
        <v>128</v>
      </c>
      <c r="G22" s="19" t="str">
        <f t="shared" ca="1" si="0"/>
        <v>Pending</v>
      </c>
      <c r="H22" s="20">
        <v>1</v>
      </c>
      <c r="I22" s="21">
        <v>0</v>
      </c>
      <c r="J22" s="22">
        <v>0</v>
      </c>
      <c r="K22" s="22">
        <f t="shared" si="24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25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6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7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8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9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30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31"/>
        <v>0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2"/>
        <v>0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3"/>
        <v>0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4"/>
        <v>0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5"/>
        <v>0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6"/>
        <v>0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7"/>
        <v>0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 x14ac:dyDescent="0.2">
      <c r="A23" s="16"/>
      <c r="B23" s="16"/>
      <c r="C23" s="16"/>
      <c r="D23" s="17"/>
      <c r="E23" s="178"/>
      <c r="F23" s="18" t="s">
        <v>128</v>
      </c>
      <c r="G23" s="19" t="str">
        <f t="shared" ca="1" si="0"/>
        <v>Pending</v>
      </c>
      <c r="H23" s="20">
        <v>1</v>
      </c>
      <c r="I23" s="21">
        <v>0</v>
      </c>
      <c r="J23" s="22">
        <v>0</v>
      </c>
      <c r="K23" s="22">
        <f t="shared" si="24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25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6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7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8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9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30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31"/>
        <v>0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2"/>
        <v>0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3"/>
        <v>0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4"/>
        <v>0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5"/>
        <v>0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6"/>
        <v>0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7"/>
        <v>0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 x14ac:dyDescent="0.2">
      <c r="A24" s="16"/>
      <c r="B24" s="16"/>
      <c r="C24" s="16"/>
      <c r="D24" s="17"/>
      <c r="E24" s="178"/>
      <c r="F24" s="18" t="s">
        <v>128</v>
      </c>
      <c r="G24" s="19" t="str">
        <f t="shared" ca="1" si="0"/>
        <v>Pending</v>
      </c>
      <c r="H24" s="20">
        <v>1</v>
      </c>
      <c r="I24" s="21">
        <v>0</v>
      </c>
      <c r="J24" s="22">
        <v>0</v>
      </c>
      <c r="K24" s="22">
        <f t="shared" si="24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25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6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7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8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9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30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31"/>
        <v>0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2"/>
        <v>0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3"/>
        <v>0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4"/>
        <v>0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5"/>
        <v>0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6"/>
        <v>0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7"/>
        <v>0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 x14ac:dyDescent="0.2">
      <c r="A25" s="16"/>
      <c r="B25" s="16"/>
      <c r="C25" s="16"/>
      <c r="D25" s="17"/>
      <c r="E25" s="178"/>
      <c r="F25" s="18" t="s">
        <v>128</v>
      </c>
      <c r="G25" s="19" t="str">
        <f t="shared" ca="1" si="0"/>
        <v>Pending</v>
      </c>
      <c r="H25" s="20">
        <v>1</v>
      </c>
      <c r="I25" s="21">
        <v>0</v>
      </c>
      <c r="J25" s="22">
        <v>0</v>
      </c>
      <c r="K25" s="22">
        <f t="shared" si="24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25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6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7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8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9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30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31"/>
        <v>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2"/>
        <v>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3"/>
        <v>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4"/>
        <v>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5"/>
        <v>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6"/>
        <v>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7"/>
        <v>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 x14ac:dyDescent="0.2">
      <c r="A26" s="16"/>
      <c r="B26" s="16"/>
      <c r="C26" s="16"/>
      <c r="D26" s="17"/>
      <c r="E26" s="178"/>
      <c r="F26" s="18" t="s">
        <v>128</v>
      </c>
      <c r="G26" s="19" t="str">
        <f t="shared" ca="1" si="0"/>
        <v>Pending</v>
      </c>
      <c r="H26" s="20">
        <v>1</v>
      </c>
      <c r="I26" s="21">
        <v>0</v>
      </c>
      <c r="J26" s="22">
        <v>0</v>
      </c>
      <c r="K26" s="22">
        <f t="shared" si="24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25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6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7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8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9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30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31"/>
        <v>0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2"/>
        <v>0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3"/>
        <v>0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4"/>
        <v>0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5"/>
        <v>0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6"/>
        <v>0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7"/>
        <v>0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 x14ac:dyDescent="0.2">
      <c r="A27" s="16"/>
      <c r="B27" s="16"/>
      <c r="C27" s="16"/>
      <c r="D27" s="17"/>
      <c r="E27" s="178"/>
      <c r="F27" s="18" t="s">
        <v>128</v>
      </c>
      <c r="G27" s="19" t="str">
        <f t="shared" ca="1" si="0"/>
        <v>Pending</v>
      </c>
      <c r="H27" s="20">
        <v>1</v>
      </c>
      <c r="I27" s="21">
        <v>0</v>
      </c>
      <c r="J27" s="22">
        <v>0</v>
      </c>
      <c r="K27" s="22">
        <f t="shared" si="24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25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6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7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8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9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30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31"/>
        <v>0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2"/>
        <v>0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3"/>
        <v>0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4"/>
        <v>0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5"/>
        <v>0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6"/>
        <v>0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7"/>
        <v>0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 x14ac:dyDescent="0.2">
      <c r="A28" s="16"/>
      <c r="B28" s="16"/>
      <c r="C28" s="16"/>
      <c r="D28" s="17"/>
      <c r="E28" s="178"/>
      <c r="F28" s="18" t="s">
        <v>128</v>
      </c>
      <c r="G28" s="19" t="str">
        <f t="shared" ca="1" si="0"/>
        <v>Pending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25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6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7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8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9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30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31"/>
        <v>0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2"/>
        <v>0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3"/>
        <v>0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4"/>
        <v>0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5"/>
        <v>0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6"/>
        <v>0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7"/>
        <v>0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128</v>
      </c>
      <c r="G29" s="19" t="str">
        <f t="shared" ca="1" si="0"/>
        <v>Pending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128</v>
      </c>
      <c r="G30" s="19" t="str">
        <f t="shared" ca="1" si="0"/>
        <v>Pending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128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128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128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128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128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128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128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128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128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128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128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128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128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128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128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128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128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128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128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128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128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128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128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128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128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128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128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128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128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128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 x14ac:dyDescent="0.2">
      <c r="A61" s="16"/>
      <c r="B61" s="16"/>
      <c r="C61" s="16"/>
      <c r="D61" s="17"/>
      <c r="E61" s="177"/>
      <c r="F61" s="18" t="s">
        <v>48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 x14ac:dyDescent="0.2">
      <c r="A63" s="29"/>
      <c r="B63" s="29"/>
      <c r="C63" s="29"/>
      <c r="D63" s="29"/>
      <c r="E63" s="29"/>
      <c r="F63" s="29"/>
      <c r="G63" s="1"/>
      <c r="H63" s="29"/>
      <c r="I63" s="29"/>
      <c r="J63" s="189" t="s">
        <v>9</v>
      </c>
      <c r="K63" s="190"/>
      <c r="L63" s="30">
        <v>1</v>
      </c>
      <c r="M63" s="187" t="s">
        <v>9</v>
      </c>
      <c r="N63" s="191"/>
      <c r="O63" s="30">
        <f>L63+1</f>
        <v>2</v>
      </c>
      <c r="P63" s="187" t="s">
        <v>9</v>
      </c>
      <c r="Q63" s="191"/>
      <c r="R63" s="30">
        <f>O63+1</f>
        <v>3</v>
      </c>
      <c r="S63" s="187" t="s">
        <v>9</v>
      </c>
      <c r="T63" s="191"/>
      <c r="U63" s="30">
        <f>R63+1</f>
        <v>4</v>
      </c>
      <c r="V63" s="187" t="s">
        <v>9</v>
      </c>
      <c r="W63" s="191"/>
      <c r="X63" s="30">
        <f>U63+1</f>
        <v>5</v>
      </c>
      <c r="Y63" s="187" t="s">
        <v>9</v>
      </c>
      <c r="Z63" s="187"/>
      <c r="AA63" s="30">
        <f>X63+1</f>
        <v>6</v>
      </c>
      <c r="AB63" s="187" t="s">
        <v>9</v>
      </c>
      <c r="AC63" s="187"/>
      <c r="AD63" s="30">
        <f>AA63+1</f>
        <v>7</v>
      </c>
      <c r="AE63" s="187" t="s">
        <v>9</v>
      </c>
      <c r="AF63" s="187"/>
      <c r="AG63" s="30">
        <f>AD63+1</f>
        <v>8</v>
      </c>
      <c r="AH63" s="187" t="s">
        <v>9</v>
      </c>
      <c r="AI63" s="187"/>
      <c r="AJ63" s="30">
        <f>AG63+1</f>
        <v>9</v>
      </c>
      <c r="AK63" s="187" t="s">
        <v>9</v>
      </c>
      <c r="AL63" s="187"/>
      <c r="AM63" s="30">
        <f>AJ63+1</f>
        <v>10</v>
      </c>
      <c r="AN63" s="187" t="s">
        <v>9</v>
      </c>
      <c r="AO63" s="187"/>
      <c r="AP63" s="30">
        <f>AM63+1</f>
        <v>11</v>
      </c>
      <c r="AQ63" s="187" t="s">
        <v>9</v>
      </c>
      <c r="AR63" s="187"/>
      <c r="AS63" s="30">
        <f>AP63+1</f>
        <v>12</v>
      </c>
      <c r="AT63" s="187" t="s">
        <v>9</v>
      </c>
      <c r="AU63" s="187"/>
      <c r="AV63" s="30">
        <f>AS63+1</f>
        <v>13</v>
      </c>
      <c r="AW63" s="187" t="s">
        <v>9</v>
      </c>
      <c r="AX63" s="187"/>
      <c r="AY63" s="30">
        <f>AV63+1</f>
        <v>14</v>
      </c>
      <c r="AZ63" s="187" t="s">
        <v>9</v>
      </c>
      <c r="BA63" s="191"/>
      <c r="BB63" s="30" t="e">
        <f>#REF!+1</f>
        <v>#REF!</v>
      </c>
      <c r="BC63" s="187" t="s">
        <v>9</v>
      </c>
      <c r="BD63" s="191"/>
      <c r="BE63" s="30" t="e">
        <f>BB63+1</f>
        <v>#REF!</v>
      </c>
      <c r="BF63" s="187" t="s">
        <v>9</v>
      </c>
      <c r="BG63" s="191"/>
      <c r="BH63" s="30" t="e">
        <f>BE63+1</f>
        <v>#REF!</v>
      </c>
      <c r="BI63" s="187" t="s">
        <v>9</v>
      </c>
      <c r="BJ63" s="191"/>
      <c r="BK63" s="30" t="e">
        <f>BH63+1</f>
        <v>#REF!</v>
      </c>
      <c r="BL63" s="187" t="s">
        <v>9</v>
      </c>
      <c r="BM63" s="191"/>
      <c r="BN63" s="30" t="e">
        <f>BK63+1</f>
        <v>#REF!</v>
      </c>
      <c r="BO63" s="187" t="s">
        <v>9</v>
      </c>
      <c r="BP63" s="191"/>
      <c r="BQ63" s="30" t="e">
        <f>BN63+1</f>
        <v>#REF!</v>
      </c>
      <c r="BR63" s="187" t="s">
        <v>9</v>
      </c>
      <c r="BS63" s="191"/>
      <c r="BT63" s="30" t="e">
        <f>BQ63+1</f>
        <v>#REF!</v>
      </c>
      <c r="BU63" s="187" t="s">
        <v>9</v>
      </c>
      <c r="BV63" s="191"/>
      <c r="BW63" s="30" t="e">
        <f>BT63+1</f>
        <v>#REF!</v>
      </c>
      <c r="BX63" s="187" t="s">
        <v>9</v>
      </c>
      <c r="BY63" s="191"/>
      <c r="BZ63" s="30" t="e">
        <f>BW63+1</f>
        <v>#REF!</v>
      </c>
      <c r="CA63" s="187" t="s">
        <v>9</v>
      </c>
      <c r="CB63" s="191"/>
      <c r="CC63" s="30" t="e">
        <f>BZ63+1</f>
        <v>#REF!</v>
      </c>
      <c r="CD63" s="30"/>
      <c r="CE63" s="31"/>
    </row>
    <row r="64" spans="1:83" hidden="1" x14ac:dyDescent="0.2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5">
        <v>1</v>
      </c>
      <c r="K64" s="155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 x14ac:dyDescent="0.2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5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 x14ac:dyDescent="0.2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5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 x14ac:dyDescent="0.2">
      <c r="A67" s="37">
        <v>300</v>
      </c>
      <c r="B67" s="37">
        <v>300</v>
      </c>
      <c r="C67" s="37">
        <v>300</v>
      </c>
      <c r="D67" s="37" t="s">
        <v>89</v>
      </c>
      <c r="E67" s="38" t="s">
        <v>85</v>
      </c>
      <c r="F67" s="38"/>
      <c r="G67" s="38"/>
      <c r="H67" s="38"/>
      <c r="I67" s="39">
        <f>SUBTOTAL(109,I$4:I$62)</f>
        <v>8</v>
      </c>
      <c r="J67" s="156">
        <f>SUBTOTAL(109,J$4:J$62)</f>
        <v>2</v>
      </c>
      <c r="K67" s="156">
        <f>SUBTOTAL(109,K$4:K$61)</f>
        <v>6</v>
      </c>
      <c r="L67" s="39"/>
      <c r="M67" s="39">
        <f>SUBTOTAL(109,M$4:M$62)</f>
        <v>0</v>
      </c>
      <c r="N67" s="39">
        <f>SUBTOTAL(109,N$4:N$61)</f>
        <v>6</v>
      </c>
      <c r="O67" s="39"/>
      <c r="P67" s="39">
        <f>SUBTOTAL(109,P$4:P$62)</f>
        <v>0</v>
      </c>
      <c r="Q67" s="39">
        <f>SUBTOTAL(109,Q$4:Q$61)</f>
        <v>6</v>
      </c>
      <c r="R67" s="39"/>
      <c r="S67" s="39">
        <f>SUBTOTAL(109,S$4:S$62)</f>
        <v>0</v>
      </c>
      <c r="T67" s="39">
        <f>SUBTOTAL(109,T$4:T$61)</f>
        <v>6</v>
      </c>
      <c r="U67" s="39"/>
      <c r="V67" s="39">
        <f>SUBTOTAL(109,V$4:V$62)</f>
        <v>0</v>
      </c>
      <c r="W67" s="39">
        <f>SUBTOTAL(109,W$4:W$61)</f>
        <v>6</v>
      </c>
      <c r="X67" s="39"/>
      <c r="Y67" s="39">
        <f>SUBTOTAL(109,Y$4:Y$62)</f>
        <v>0</v>
      </c>
      <c r="Z67" s="39">
        <f>SUBTOTAL(109,Z$4:Z$61)</f>
        <v>6</v>
      </c>
      <c r="AA67" s="39"/>
      <c r="AB67" s="39">
        <f>SUBTOTAL(109,AB$4:AB$62)</f>
        <v>0</v>
      </c>
      <c r="AC67" s="39">
        <f>SUBTOTAL(109,AC$4:AC$61)</f>
        <v>6</v>
      </c>
      <c r="AD67" s="39"/>
      <c r="AE67" s="39">
        <f>SUBTOTAL(109,AE$4:AE$62)</f>
        <v>0</v>
      </c>
      <c r="AF67" s="39">
        <f>SUBTOTAL(109,AF$4:AF$61)</f>
        <v>6</v>
      </c>
      <c r="AG67" s="39"/>
      <c r="AH67" s="39">
        <f>SUBTOTAL(109,AH$4:AH$62)</f>
        <v>0</v>
      </c>
      <c r="AI67" s="39">
        <f>SUBTOTAL(109,AI$4:AI$61)</f>
        <v>6</v>
      </c>
      <c r="AJ67" s="39"/>
      <c r="AK67" s="39">
        <f>SUBTOTAL(109,AK$4:AK$62)</f>
        <v>0</v>
      </c>
      <c r="AL67" s="39">
        <f>SUBTOTAL(109,AL$4:AL$61)</f>
        <v>6</v>
      </c>
      <c r="AM67" s="39"/>
      <c r="AN67" s="39">
        <f>SUBTOTAL(109,AN$4:AN$62)</f>
        <v>0</v>
      </c>
      <c r="AO67" s="39">
        <f>SUBTOTAL(109,AO$4:AO$61)</f>
        <v>6</v>
      </c>
      <c r="AP67" s="39"/>
      <c r="AQ67" s="39">
        <f>SUBTOTAL(109,AQ$4:AQ$62)</f>
        <v>0</v>
      </c>
      <c r="AR67" s="39">
        <f>SUBTOTAL(109,AR$4:AR$61)</f>
        <v>6</v>
      </c>
      <c r="AS67" s="39"/>
      <c r="AT67" s="39">
        <f>SUBTOTAL(109,AT$4:AT$62)</f>
        <v>0</v>
      </c>
      <c r="AU67" s="39">
        <f>SUBTOTAL(109,AU$4:AU$61)</f>
        <v>6</v>
      </c>
      <c r="AV67" s="39"/>
      <c r="AW67" s="39">
        <f>SUBTOTAL(109,AW$4:AW$62)</f>
        <v>0</v>
      </c>
      <c r="AX67" s="39">
        <f>SUBTOTAL(109,AX$4:AX$61)</f>
        <v>6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 x14ac:dyDescent="0.2">
      <c r="A68" s="41"/>
      <c r="B68" s="41"/>
      <c r="C68" s="41"/>
      <c r="D68" s="41"/>
      <c r="E68" s="41"/>
      <c r="F68" s="41"/>
      <c r="G68" s="41"/>
      <c r="H68" s="41"/>
      <c r="I68" s="41"/>
      <c r="J68" s="157"/>
      <c r="K68" s="158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 x14ac:dyDescent="0.2">
      <c r="A69" s="41"/>
      <c r="B69" s="41"/>
      <c r="C69" s="41"/>
      <c r="D69" s="41"/>
      <c r="E69" s="41"/>
      <c r="F69" s="41"/>
      <c r="G69" s="41"/>
      <c r="H69" s="41"/>
      <c r="I69" s="41"/>
      <c r="J69" s="157"/>
      <c r="K69" s="158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 x14ac:dyDescent="0.2">
      <c r="A70" s="41"/>
      <c r="B70" s="41"/>
      <c r="C70" s="41"/>
      <c r="D70" s="41"/>
      <c r="E70" s="41"/>
      <c r="F70" s="41"/>
      <c r="G70" s="41"/>
    </row>
    <row r="71" spans="1:83" x14ac:dyDescent="0.2">
      <c r="A71" s="41"/>
      <c r="B71" s="41"/>
      <c r="C71" s="41"/>
      <c r="D71" s="41"/>
      <c r="E71" s="41"/>
      <c r="F71" s="41"/>
      <c r="G71" s="41"/>
    </row>
  </sheetData>
  <autoFilter ref="C3:CE61"/>
  <customSheetViews>
    <customSheetView guid="{C9C5CC50-BE5D-4B67-8515-C7A7865425FC}" showAutoFilter="1" hiddenRows="1" hiddenColumns="1">
      <pane xSplit="8" ySplit="3" topLeftCell="I4" activePane="bottomRight" state="frozen"/>
      <selection pane="bottomRight" activeCell="E8" sqref="E8"/>
      <pageMargins left="0.75" right="0.75" top="1" bottom="1" header="0.5" footer="0.5"/>
      <pageSetup orientation="portrait" r:id="rId1"/>
      <headerFooter alignWithMargins="0"/>
      <autoFilter ref="C3:CE61"/>
    </customSheetView>
  </customSheetViews>
  <mergeCells count="48">
    <mergeCell ref="AE63:AF63"/>
    <mergeCell ref="AB63:AC63"/>
    <mergeCell ref="Y63:Z63"/>
    <mergeCell ref="AE1:AG1"/>
    <mergeCell ref="AB1:AD1"/>
    <mergeCell ref="Y1:AA1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63:AU63"/>
    <mergeCell ref="AW63:AX63"/>
    <mergeCell ref="AH63:AI63"/>
    <mergeCell ref="AK63:AL63"/>
    <mergeCell ref="AN63:AO63"/>
    <mergeCell ref="AQ63:AR63"/>
  </mergeCells>
  <phoneticPr fontId="2" type="noConversion"/>
  <conditionalFormatting sqref="I67">
    <cfRule type="cellIs" dxfId="47" priority="11" stopIfTrue="1" operator="lessThan">
      <formula>C67*0.75</formula>
    </cfRule>
    <cfRule type="cellIs" dxfId="46" priority="11" stopIfTrue="1" operator="between">
      <formula>C67*0.75</formula>
      <formula>#REF!</formula>
    </cfRule>
    <cfRule type="cellIs" dxfId="45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J4:J61 P4:P61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CE4:CE62 H4:I61 A4:E61">
    <cfRule type="expression" dxfId="37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8:K69 M68:N69">
    <cfRule type="expression" dxfId="31" priority="8" stopIfTrue="1">
      <formula>"I1=TODAY()"</formula>
    </cfRule>
  </conditionalFormatting>
  <conditionalFormatting sqref="G63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61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6274" r:id="rId5" name="BtnInsertNewLineAtEnd">
          <controlPr defaultSize="0" autoLine="0" autoPict="0" r:id="rId6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5" name="BtnInsertNewLineAtEnd"/>
      </mc:Fallback>
    </mc:AlternateContent>
    <mc:AlternateContent xmlns:mc="http://schemas.openxmlformats.org/markup-compatibility/2006">
      <mc:Choice Requires="x14">
        <control shapeId="6275" r:id="rId7" name="BtnInsertNewLine">
          <controlPr defaultSize="0" autoLine="0" autoPict="0" r:id="rId8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7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E24" sqref="E24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42772</v>
      </c>
      <c r="F20" s="164">
        <f t="shared" si="0"/>
        <v>42773</v>
      </c>
      <c r="G20" s="164">
        <f t="shared" si="0"/>
        <v>42774</v>
      </c>
      <c r="H20" s="164">
        <f t="shared" si="0"/>
        <v>42775</v>
      </c>
      <c r="I20" s="164">
        <f t="shared" si="0"/>
        <v>42776</v>
      </c>
      <c r="J20" s="164">
        <f t="shared" si="0"/>
        <v>42777</v>
      </c>
      <c r="K20" s="164">
        <f t="shared" si="0"/>
        <v>42778</v>
      </c>
      <c r="L20" s="164">
        <f t="shared" si="0"/>
        <v>42779</v>
      </c>
      <c r="M20" s="164">
        <f t="shared" si="0"/>
        <v>42780</v>
      </c>
      <c r="N20" s="164">
        <f t="shared" si="0"/>
        <v>42781</v>
      </c>
      <c r="O20" s="164">
        <f t="shared" si="0"/>
        <v>42782</v>
      </c>
      <c r="P20" s="164">
        <f t="shared" si="0"/>
        <v>42783</v>
      </c>
      <c r="Q20" s="164">
        <f t="shared" si="0"/>
        <v>42784</v>
      </c>
      <c r="R20" s="164">
        <f t="shared" si="0"/>
        <v>42785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6</v>
      </c>
      <c r="F22" s="162" t="e">
        <f t="shared" ca="1" si="1"/>
        <v>#N/A</v>
      </c>
      <c r="G22" s="162" t="e">
        <f t="shared" ca="1" si="1"/>
        <v>#N/A</v>
      </c>
      <c r="H22" s="162" t="e">
        <f t="shared" ca="1" si="1"/>
        <v>#N/A</v>
      </c>
      <c r="I22" s="162" t="e">
        <f t="shared" ca="1" si="1"/>
        <v>#N/A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2</v>
      </c>
      <c r="F23" s="163" t="e">
        <f t="shared" ca="1" si="2"/>
        <v>#N/A</v>
      </c>
      <c r="G23" s="163" t="e">
        <f t="shared" ca="1" si="2"/>
        <v>#N/A</v>
      </c>
      <c r="H23" s="163" t="e">
        <f t="shared" ca="1" si="2"/>
        <v>#N/A</v>
      </c>
      <c r="I23" s="163" t="e">
        <f t="shared" ca="1" si="2"/>
        <v>#N/A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2</v>
      </c>
      <c r="F24" s="163" t="e">
        <f ca="1">IF(F20&gt;TODAY(), #N/A, SUM($E23:F23))</f>
        <v>#N/A</v>
      </c>
      <c r="G24" s="163" t="e">
        <f ca="1">IF(G20&gt;TODAY(), #N/A, SUM($E23:G23))</f>
        <v>#N/A</v>
      </c>
      <c r="H24" s="163" t="e">
        <f ca="1">IF(H20&gt;TODAY(), #N/A, SUM($E23:H23))</f>
        <v>#N/A</v>
      </c>
      <c r="I24" s="163" t="e">
        <f ca="1">IF(I20&gt;TODAY(), #N/A, SUM($E23:I23))</f>
        <v>#N/A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8</v>
      </c>
      <c r="F25" s="163" t="e">
        <f t="shared" ca="1" si="3"/>
        <v>#N/A</v>
      </c>
      <c r="G25" s="163" t="e">
        <f t="shared" ca="1" si="3"/>
        <v>#N/A</v>
      </c>
      <c r="H25" s="163" t="e">
        <f t="shared" ca="1" si="3"/>
        <v>#N/A</v>
      </c>
      <c r="I25" s="163" t="e">
        <f t="shared" ca="1" si="3"/>
        <v>#N/A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2</v>
      </c>
      <c r="F27" s="168" t="e">
        <f t="shared" ca="1" si="4"/>
        <v>#N/A</v>
      </c>
      <c r="G27" s="168" t="e">
        <f t="shared" ca="1" si="4"/>
        <v>#N/A</v>
      </c>
      <c r="H27" s="168" t="e">
        <f t="shared" ca="1" si="4"/>
        <v>#N/A</v>
      </c>
      <c r="I27" s="168" t="e">
        <f t="shared" ca="1" si="4"/>
        <v>#N/A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42775</v>
      </c>
      <c r="F28" s="169" t="e">
        <f t="shared" ca="1" si="5"/>
        <v>#N/A</v>
      </c>
      <c r="G28" s="169" t="e">
        <f t="shared" ca="1" si="5"/>
        <v>#N/A</v>
      </c>
      <c r="H28" s="169" t="e">
        <f t="shared" ca="1" si="5"/>
        <v>#N/A</v>
      </c>
      <c r="I28" s="169" t="e">
        <f t="shared" ca="1" si="5"/>
        <v>#N/A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42772</v>
      </c>
      <c r="F29" s="169" t="e">
        <f t="shared" ca="1" si="6"/>
        <v>#N/A</v>
      </c>
      <c r="G29" s="169" t="e">
        <f t="shared" ca="1" si="6"/>
        <v>#N/A</v>
      </c>
      <c r="H29" s="169" t="e">
        <f t="shared" ca="1" si="6"/>
        <v>#N/A</v>
      </c>
      <c r="I29" s="169" t="e">
        <f t="shared" ca="1" si="6"/>
        <v>#N/A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0</v>
      </c>
      <c r="F31" s="165" t="e">
        <f t="shared" ca="1" si="7"/>
        <v>#N/A</v>
      </c>
      <c r="G31" s="165" t="e">
        <f t="shared" ca="1" si="7"/>
        <v>#N/A</v>
      </c>
      <c r="H31" s="165" t="e">
        <f t="shared" ca="1" si="7"/>
        <v>#N/A</v>
      </c>
      <c r="I31" s="165" t="e">
        <f t="shared" ca="1" si="7"/>
        <v>#N/A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8</v>
      </c>
      <c r="F32" s="170" t="e">
        <f t="shared" ca="1" si="8"/>
        <v>#N/A</v>
      </c>
      <c r="G32" s="170" t="e">
        <f t="shared" ca="1" si="8"/>
        <v>#N/A</v>
      </c>
      <c r="H32" s="170" t="e">
        <f t="shared" ca="1" si="8"/>
        <v>#N/A</v>
      </c>
      <c r="I32" s="170" t="e">
        <f t="shared" ca="1" si="8"/>
        <v>#N/A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 t="e">
        <f t="shared" ca="1" si="9"/>
        <v>#N/A</v>
      </c>
      <c r="G33" s="165" t="e">
        <f t="shared" ca="1" si="9"/>
        <v>#N/A</v>
      </c>
      <c r="H33" s="165" t="e">
        <f t="shared" ca="1" si="9"/>
        <v>#N/A</v>
      </c>
      <c r="I33" s="165" t="e">
        <f t="shared" ca="1" si="9"/>
        <v>#N/A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56</v>
      </c>
      <c r="F35" s="165" t="e">
        <f t="shared" ca="1" si="10"/>
        <v>#N/A</v>
      </c>
      <c r="G35" s="165" t="e">
        <f t="shared" ca="1" si="10"/>
        <v>#N/A</v>
      </c>
      <c r="H35" s="165" t="e">
        <f t="shared" ca="1" si="10"/>
        <v>#N/A</v>
      </c>
      <c r="I35" s="165" t="e">
        <f t="shared" ca="1" si="10"/>
        <v>#N/A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2</v>
      </c>
      <c r="F36" s="165" t="e">
        <f t="shared" ca="1" si="11"/>
        <v>#N/A</v>
      </c>
      <c r="G36" s="165" t="e">
        <f t="shared" ca="1" si="11"/>
        <v>#N/A</v>
      </c>
      <c r="H36" s="165" t="e">
        <f t="shared" ca="1" si="11"/>
        <v>#N/A</v>
      </c>
      <c r="I36" s="165" t="e">
        <f t="shared" ca="1" si="11"/>
        <v>#N/A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 t="e">
        <f t="shared" ca="1" si="12"/>
        <v>#N/A</v>
      </c>
      <c r="G37" s="165" t="e">
        <f t="shared" ca="1" si="12"/>
        <v>#N/A</v>
      </c>
      <c r="H37" s="165" t="e">
        <f t="shared" ca="1" si="12"/>
        <v>#N/A</v>
      </c>
      <c r="I37" s="165" t="e">
        <f t="shared" ca="1" si="12"/>
        <v>#N/A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86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87</v>
      </c>
      <c r="C41" s="165"/>
      <c r="D41" s="165"/>
      <c r="E41" s="165">
        <v>0</v>
      </c>
      <c r="F41" s="165"/>
      <c r="G41" s="165" t="s">
        <v>88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customSheetViews>
    <customSheetView guid="{C9C5CC50-BE5D-4B67-8515-C7A7865425FC}">
      <selection activeCell="E24" sqref="E24"/>
      <pageMargins left="0.75" right="0.75" top="1" bottom="1" header="0.5" footer="0.5"/>
      <pageSetup paperSize="9" orientation="portrait" r:id="rId1"/>
      <headerFooter alignWithMargins="0"/>
    </customSheetView>
  </customSheetViews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2"/>
  <headerFooter alignWithMargins="0"/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E31" sqref="E31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Mon</v>
      </c>
      <c r="E2" s="48">
        <f ca="1">TODAY()</f>
        <v>42772</v>
      </c>
    </row>
    <row r="3" spans="2:28" ht="13.5" thickBot="1" x14ac:dyDescent="0.25">
      <c r="B3" s="49" t="s">
        <v>43</v>
      </c>
      <c r="C3" s="50"/>
      <c r="D3" s="51" t="str">
        <f>TEXT(E3,"ddd")</f>
        <v>Mon</v>
      </c>
      <c r="E3" s="52">
        <v>42772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5" t="s">
        <v>47</v>
      </c>
      <c r="C5" s="196"/>
      <c r="D5" s="196"/>
      <c r="E5" s="196"/>
      <c r="F5" s="196"/>
      <c r="G5" s="197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54</v>
      </c>
      <c r="C6" s="61">
        <v>3</v>
      </c>
      <c r="D6" s="62"/>
      <c r="E6" s="63" t="s">
        <v>55</v>
      </c>
      <c r="F6" s="64">
        <v>14</v>
      </c>
      <c r="G6" s="65"/>
      <c r="I6" s="66">
        <f>IF(D3="Mon",E3-0,IF(D3="Tue",E3-1,IF(D3="Wed",E3-2,IF(D3="Thu",E3-3,IF(D3="Fri",E3-4,IF(D3="Sat",E3-5,IF(D3="Sun",E3-6,"False")))))))</f>
        <v>42772</v>
      </c>
      <c r="J6" s="67">
        <f t="shared" ref="J6:O6" si="0">I6+1</f>
        <v>42773</v>
      </c>
      <c r="K6" s="67">
        <f t="shared" si="0"/>
        <v>42774</v>
      </c>
      <c r="L6" s="67">
        <f t="shared" si="0"/>
        <v>42775</v>
      </c>
      <c r="M6" s="67">
        <f t="shared" si="0"/>
        <v>42776</v>
      </c>
      <c r="N6" s="68">
        <f t="shared" si="0"/>
        <v>42777</v>
      </c>
      <c r="O6" s="68">
        <f t="shared" si="0"/>
        <v>42778</v>
      </c>
      <c r="P6" s="69">
        <f>I6+7</f>
        <v>42779</v>
      </c>
      <c r="Q6" s="67">
        <f t="shared" ref="Q6:V6" si="1">P6+1</f>
        <v>42780</v>
      </c>
      <c r="R6" s="67">
        <f t="shared" si="1"/>
        <v>42781</v>
      </c>
      <c r="S6" s="67">
        <f t="shared" si="1"/>
        <v>42782</v>
      </c>
      <c r="T6" s="67">
        <f t="shared" si="1"/>
        <v>42783</v>
      </c>
      <c r="U6" s="68">
        <f t="shared" si="1"/>
        <v>42784</v>
      </c>
      <c r="V6" s="68">
        <f t="shared" si="1"/>
        <v>42785</v>
      </c>
      <c r="W6" s="198"/>
      <c r="X6" s="199"/>
      <c r="Y6" s="199"/>
      <c r="Z6" s="199"/>
      <c r="AA6" s="199"/>
      <c r="AB6" s="200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52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1" t="s">
        <v>42</v>
      </c>
      <c r="X7" s="202"/>
      <c r="Y7" s="202"/>
      <c r="Z7" s="202"/>
      <c r="AA7" s="202"/>
      <c r="AB7" s="203"/>
    </row>
    <row r="8" spans="2:28" ht="13.5" thickBot="1" x14ac:dyDescent="0.25">
      <c r="B8" s="78" t="s">
        <v>37</v>
      </c>
      <c r="C8" s="79">
        <f>SUM(G8:G25)</f>
        <v>6</v>
      </c>
      <c r="D8" s="80"/>
      <c r="E8" s="81" t="s">
        <v>134</v>
      </c>
      <c r="F8" s="82">
        <v>1</v>
      </c>
      <c r="G8" s="83">
        <f>SUMIF(Sprint!$F$4:$F$1854,E8,Sprint!$AX$4:$AX$1854)</f>
        <v>3</v>
      </c>
      <c r="H8" s="84"/>
      <c r="I8" s="90">
        <f t="shared" ref="I8:J18" ca="1" si="2">IF(I$6&lt;$E$3,0,IF(ISBLANK($E8),0,IF(I$6&lt;$E$2,0,1)))</f>
        <v>1</v>
      </c>
      <c r="J8" s="91">
        <f t="shared" ca="1" si="2"/>
        <v>1</v>
      </c>
      <c r="K8" s="91">
        <f t="shared" ref="K8:M23" ca="1" si="3">IF(K$6&lt;$E$3,0,IF(ISBLANK($E8),0,IF(K$6&lt;$E$2,0,1)))</f>
        <v>1</v>
      </c>
      <c r="L8" s="91">
        <f t="shared" ca="1" si="3"/>
        <v>1</v>
      </c>
      <c r="M8" s="91">
        <f t="shared" ca="1" si="3"/>
        <v>1</v>
      </c>
      <c r="N8" s="85"/>
      <c r="O8" s="86"/>
      <c r="P8" s="90">
        <f t="shared" ref="P8:T18" ca="1" si="4">IF(P$6&lt;$E$3,0,IF(ISBLANK($E8),0,IF(P$6&lt;$E$2,0,1)))</f>
        <v>1</v>
      </c>
      <c r="Q8" s="91">
        <f t="shared" ca="1" si="4"/>
        <v>1</v>
      </c>
      <c r="R8" s="91">
        <f t="shared" ca="1" si="4"/>
        <v>1</v>
      </c>
      <c r="S8" s="91">
        <f t="shared" ca="1" si="4"/>
        <v>1</v>
      </c>
      <c r="T8" s="91">
        <f t="shared" ca="1" si="4"/>
        <v>1</v>
      </c>
      <c r="U8" s="85"/>
      <c r="V8" s="86"/>
      <c r="W8" s="192">
        <f t="shared" ref="W8:W25" ca="1" si="5">IF(E8="unassigned",0,(COUNTIF(I8:V8,1)*$C$6)*F8)</f>
        <v>30</v>
      </c>
      <c r="X8" s="193"/>
      <c r="Y8" s="193"/>
      <c r="Z8" s="193"/>
      <c r="AA8" s="193"/>
      <c r="AB8" s="194"/>
    </row>
    <row r="9" spans="2:28" ht="13.5" thickBot="1" x14ac:dyDescent="0.25">
      <c r="B9" s="87" t="s">
        <v>38</v>
      </c>
      <c r="C9" s="79">
        <f ca="1">SUM(W8:AB25)</f>
        <v>60</v>
      </c>
      <c r="D9" s="88"/>
      <c r="E9" s="18" t="s">
        <v>130</v>
      </c>
      <c r="F9" s="89">
        <v>1</v>
      </c>
      <c r="G9" s="83">
        <f>SUMIF(Sprint!$F$4:$F$1854,E9,Sprint!$AX$4:$AX$1854)</f>
        <v>3</v>
      </c>
      <c r="H9" s="84"/>
      <c r="I9" s="90">
        <f t="shared" ca="1" si="2"/>
        <v>1</v>
      </c>
      <c r="J9" s="91">
        <f t="shared" ca="1" si="2"/>
        <v>1</v>
      </c>
      <c r="K9" s="91">
        <f t="shared" ca="1" si="3"/>
        <v>1</v>
      </c>
      <c r="L9" s="91">
        <f t="shared" ca="1" si="3"/>
        <v>1</v>
      </c>
      <c r="M9" s="91">
        <f t="shared" ca="1" si="3"/>
        <v>1</v>
      </c>
      <c r="N9" s="92"/>
      <c r="O9" s="93"/>
      <c r="P9" s="90">
        <f t="shared" ca="1" si="4"/>
        <v>1</v>
      </c>
      <c r="Q9" s="91">
        <f t="shared" ca="1" si="4"/>
        <v>1</v>
      </c>
      <c r="R9" s="91">
        <f t="shared" ca="1" si="4"/>
        <v>1</v>
      </c>
      <c r="S9" s="91">
        <f t="shared" ca="1" si="4"/>
        <v>1</v>
      </c>
      <c r="T9" s="91">
        <f t="shared" ca="1" si="4"/>
        <v>1</v>
      </c>
      <c r="U9" s="92"/>
      <c r="V9" s="93"/>
      <c r="W9" s="192">
        <f t="shared" ca="1" si="5"/>
        <v>30</v>
      </c>
      <c r="X9" s="193"/>
      <c r="Y9" s="193"/>
      <c r="Z9" s="193"/>
      <c r="AA9" s="193"/>
      <c r="AB9" s="194"/>
    </row>
    <row r="10" spans="2:28" ht="13.5" thickBot="1" x14ac:dyDescent="0.25">
      <c r="B10" s="94" t="s">
        <v>39</v>
      </c>
      <c r="C10" s="95">
        <f ca="1">C8-C9</f>
        <v>-54</v>
      </c>
      <c r="D10" s="62"/>
      <c r="E10" s="18"/>
      <c r="F10" s="89"/>
      <c r="G10" s="83">
        <f>SUMIF(Sprint!$F$4:$F$1854,E10,Sprint!$AX$4:$AX$1854)</f>
        <v>0</v>
      </c>
      <c r="H10" s="84"/>
      <c r="I10" s="90">
        <f t="shared" si="2"/>
        <v>0</v>
      </c>
      <c r="J10" s="91">
        <f t="shared" si="2"/>
        <v>0</v>
      </c>
      <c r="K10" s="91">
        <f t="shared" si="3"/>
        <v>0</v>
      </c>
      <c r="L10" s="91">
        <f t="shared" si="3"/>
        <v>0</v>
      </c>
      <c r="M10" s="91">
        <f t="shared" si="3"/>
        <v>0</v>
      </c>
      <c r="N10" s="92"/>
      <c r="O10" s="93"/>
      <c r="P10" s="90">
        <f t="shared" si="4"/>
        <v>0</v>
      </c>
      <c r="Q10" s="91">
        <f t="shared" si="4"/>
        <v>0</v>
      </c>
      <c r="R10" s="91">
        <f t="shared" si="4"/>
        <v>0</v>
      </c>
      <c r="S10" s="91">
        <f t="shared" si="4"/>
        <v>0</v>
      </c>
      <c r="T10" s="91">
        <f t="shared" si="4"/>
        <v>0</v>
      </c>
      <c r="U10" s="92"/>
      <c r="V10" s="93"/>
      <c r="W10" s="192">
        <f t="shared" si="5"/>
        <v>0</v>
      </c>
      <c r="X10" s="193"/>
      <c r="Y10" s="193"/>
      <c r="Z10" s="193"/>
      <c r="AA10" s="193"/>
      <c r="AB10" s="194"/>
    </row>
    <row r="11" spans="2:28" ht="13.5" thickBot="1" x14ac:dyDescent="0.25">
      <c r="B11" s="96"/>
      <c r="D11" s="97"/>
      <c r="E11" s="18"/>
      <c r="F11" s="89"/>
      <c r="G11" s="83">
        <f>SUMIF(Sprint!$F$4:$F$1854,E11,Sprint!$AX$4:$AX$1854)</f>
        <v>0</v>
      </c>
      <c r="H11" s="84"/>
      <c r="I11" s="90">
        <f t="shared" si="2"/>
        <v>0</v>
      </c>
      <c r="J11" s="91">
        <f t="shared" si="2"/>
        <v>0</v>
      </c>
      <c r="K11" s="91">
        <f t="shared" si="3"/>
        <v>0</v>
      </c>
      <c r="L11" s="91">
        <f t="shared" si="3"/>
        <v>0</v>
      </c>
      <c r="M11" s="91">
        <f t="shared" si="3"/>
        <v>0</v>
      </c>
      <c r="N11" s="92"/>
      <c r="O11" s="93"/>
      <c r="P11" s="90">
        <f t="shared" si="4"/>
        <v>0</v>
      </c>
      <c r="Q11" s="91">
        <f t="shared" si="4"/>
        <v>0</v>
      </c>
      <c r="R11" s="91">
        <f t="shared" si="4"/>
        <v>0</v>
      </c>
      <c r="S11" s="91">
        <f t="shared" si="4"/>
        <v>0</v>
      </c>
      <c r="T11" s="91">
        <f t="shared" si="4"/>
        <v>0</v>
      </c>
      <c r="U11" s="92"/>
      <c r="V11" s="93"/>
      <c r="W11" s="192">
        <f t="shared" si="5"/>
        <v>0</v>
      </c>
      <c r="X11" s="193"/>
      <c r="Y11" s="193"/>
      <c r="Z11" s="193"/>
      <c r="AA11" s="193"/>
      <c r="AB11" s="194"/>
    </row>
    <row r="12" spans="2:28" ht="13.5" thickBot="1" x14ac:dyDescent="0.25">
      <c r="B12" s="96"/>
      <c r="D12" s="97"/>
      <c r="E12" s="18"/>
      <c r="F12" s="89"/>
      <c r="G12" s="83">
        <f>SUMIF(Sprint!$F$4:$F$1854,E12,Sprint!$AX$4:$AX$1854)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92">
        <f t="shared" si="5"/>
        <v>0</v>
      </c>
      <c r="X12" s="193"/>
      <c r="Y12" s="193"/>
      <c r="Z12" s="193"/>
      <c r="AA12" s="193"/>
      <c r="AB12" s="194"/>
    </row>
    <row r="13" spans="2:28" ht="13.5" thickBot="1" x14ac:dyDescent="0.25">
      <c r="B13" s="96"/>
      <c r="D13" s="98"/>
      <c r="E13" s="18"/>
      <c r="F13" s="89"/>
      <c r="G13" s="83">
        <f>SUMIF(Sprint!$F$4:$F$1854,E13,Sprint!$AX$4:$AX$1854)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92">
        <f t="shared" si="5"/>
        <v>0</v>
      </c>
      <c r="X13" s="193"/>
      <c r="Y13" s="193"/>
      <c r="Z13" s="193"/>
      <c r="AA13" s="193"/>
      <c r="AB13" s="194"/>
    </row>
    <row r="14" spans="2:28" ht="13.5" thickBot="1" x14ac:dyDescent="0.25">
      <c r="B14" s="96"/>
      <c r="D14" s="62"/>
      <c r="E14" s="18"/>
      <c r="F14" s="89"/>
      <c r="G14" s="83">
        <f>SUMIF(Sprint!$F$4:$F$1854,E14,Sprint!$AX$4:$AX$1854)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92">
        <f t="shared" si="5"/>
        <v>0</v>
      </c>
      <c r="X14" s="193"/>
      <c r="Y14" s="193"/>
      <c r="Z14" s="193"/>
      <c r="AA14" s="193"/>
      <c r="AB14" s="194"/>
    </row>
    <row r="15" spans="2:28" ht="13.5" thickBot="1" x14ac:dyDescent="0.25">
      <c r="B15" s="96"/>
      <c r="D15" s="62"/>
      <c r="E15" s="18"/>
      <c r="F15" s="89"/>
      <c r="G15" s="83">
        <f>SUMIF(Sprint!$F$4:$F$1854,E15,Sprint!$AX$4:$AX$1854)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92">
        <f t="shared" si="5"/>
        <v>0</v>
      </c>
      <c r="X15" s="193"/>
      <c r="Y15" s="193"/>
      <c r="Z15" s="193"/>
      <c r="AA15" s="193"/>
      <c r="AB15" s="194"/>
    </row>
    <row r="16" spans="2:28" ht="13.5" thickBot="1" x14ac:dyDescent="0.25">
      <c r="B16" s="96"/>
      <c r="D16" s="98"/>
      <c r="E16" s="18"/>
      <c r="F16" s="89"/>
      <c r="G16" s="83">
        <f>SUMIF(Sprint!$F$4:$F$1854,E16,Sprint!$AX$4:$AX$1854)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92">
        <f t="shared" si="5"/>
        <v>0</v>
      </c>
      <c r="X16" s="193"/>
      <c r="Y16" s="193"/>
      <c r="Z16" s="193"/>
      <c r="AA16" s="193"/>
      <c r="AB16" s="194"/>
    </row>
    <row r="17" spans="2:28" ht="13.5" thickBot="1" x14ac:dyDescent="0.25">
      <c r="B17" s="96"/>
      <c r="D17" s="98"/>
      <c r="E17" s="18"/>
      <c r="F17" s="89"/>
      <c r="G17" s="83">
        <f>SUMIF(Sprint!$F$4:$F$1854,E17,Sprint!$AX$4:$AX$1854)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92">
        <f t="shared" si="5"/>
        <v>0</v>
      </c>
      <c r="X17" s="193"/>
      <c r="Y17" s="193"/>
      <c r="Z17" s="193"/>
      <c r="AA17" s="193"/>
      <c r="AB17" s="194"/>
    </row>
    <row r="18" spans="2:28" ht="13.5" thickBot="1" x14ac:dyDescent="0.25">
      <c r="B18" s="96"/>
      <c r="D18" s="98"/>
      <c r="E18" s="18"/>
      <c r="F18" s="89"/>
      <c r="G18" s="83">
        <f>SUMIF(Sprint!$F$4:$F$1854,E18,Sprint!$AX$4:$AX$1854)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92">
        <f t="shared" si="5"/>
        <v>0</v>
      </c>
      <c r="X18" s="193"/>
      <c r="Y18" s="193"/>
      <c r="Z18" s="193"/>
      <c r="AA18" s="193"/>
      <c r="AB18" s="194"/>
    </row>
    <row r="19" spans="2:28" ht="13.5" thickBot="1" x14ac:dyDescent="0.25">
      <c r="B19" s="96"/>
      <c r="D19" s="98"/>
      <c r="E19" s="18"/>
      <c r="F19" s="89"/>
      <c r="G19" s="83">
        <f>SUMIF(Sprint!$F$4:$F$1854,E19,Sprint!$AX$4:$AX$1854)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92">
        <f t="shared" si="5"/>
        <v>0</v>
      </c>
      <c r="X19" s="193"/>
      <c r="Y19" s="193"/>
      <c r="Z19" s="193"/>
      <c r="AA19" s="193"/>
      <c r="AB19" s="194"/>
    </row>
    <row r="20" spans="2:28" ht="13.5" thickBot="1" x14ac:dyDescent="0.25">
      <c r="B20" s="96"/>
      <c r="D20" s="98"/>
      <c r="E20" s="18"/>
      <c r="F20" s="89"/>
      <c r="G20" s="83">
        <f>SUMIF(Sprint!$F$4:$F$1854,E20,Sprint!$AX$4:$AX$1854)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92">
        <f t="shared" si="5"/>
        <v>0</v>
      </c>
      <c r="X20" s="193"/>
      <c r="Y20" s="193"/>
      <c r="Z20" s="193"/>
      <c r="AA20" s="193"/>
      <c r="AB20" s="194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SUMIF(Sprint!$F$4:$F$1854,E21,Sprint!$AX$4:$AX$1854)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92">
        <f t="shared" si="5"/>
        <v>0</v>
      </c>
      <c r="X21" s="193"/>
      <c r="Y21" s="193"/>
      <c r="Z21" s="193"/>
      <c r="AA21" s="193"/>
      <c r="AB21" s="194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SUMIF(Sprint!$F$4:$F$1854,E22,Sprint!$AX$4:$AX$1854)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92">
        <f t="shared" si="5"/>
        <v>0</v>
      </c>
      <c r="X22" s="193"/>
      <c r="Y22" s="193"/>
      <c r="Z22" s="193"/>
      <c r="AA22" s="193"/>
      <c r="AB22" s="194"/>
    </row>
    <row r="23" spans="2:28" ht="13.5" thickBot="1" x14ac:dyDescent="0.25">
      <c r="B23" s="70"/>
      <c r="D23" s="98"/>
      <c r="E23" s="18"/>
      <c r="F23" s="102"/>
      <c r="G23" s="83">
        <f>SUMIF(Sprint!$F$4:$F$1854,E23,Sprint!$AX$4:$AX$1854)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92">
        <f t="shared" si="5"/>
        <v>0</v>
      </c>
      <c r="X23" s="193"/>
      <c r="Y23" s="193"/>
      <c r="Z23" s="193"/>
      <c r="AA23" s="193"/>
      <c r="AB23" s="194"/>
    </row>
    <row r="24" spans="2:28" ht="13.5" thickBot="1" x14ac:dyDescent="0.25">
      <c r="B24" s="96"/>
      <c r="D24" s="98"/>
      <c r="E24" s="18"/>
      <c r="F24" s="102"/>
      <c r="G24" s="83">
        <f>SUMIF(Sprint!$F$4:$F$1854,E24,Sprint!$AX$4:$AX$1854)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92">
        <f t="shared" si="5"/>
        <v>0</v>
      </c>
      <c r="X24" s="193"/>
      <c r="Y24" s="193"/>
      <c r="Z24" s="193"/>
      <c r="AA24" s="193"/>
      <c r="AB24" s="194"/>
    </row>
    <row r="25" spans="2:28" ht="13.5" thickBot="1" x14ac:dyDescent="0.25">
      <c r="B25" s="96"/>
      <c r="D25" s="98"/>
      <c r="E25" s="103"/>
      <c r="F25" s="104"/>
      <c r="G25" s="83">
        <f>SUMIF(Sprint!$F$4:$F$1854,E25,Sprint!$AX$4:$AX$1854)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92">
        <f t="shared" si="5"/>
        <v>0</v>
      </c>
      <c r="X25" s="193"/>
      <c r="Y25" s="193"/>
      <c r="Z25" s="193"/>
      <c r="AA25" s="193"/>
      <c r="AB25" s="194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50</v>
      </c>
      <c r="J29" s="43" t="s">
        <v>40</v>
      </c>
      <c r="K29" s="43" t="s">
        <v>51</v>
      </c>
      <c r="Q29" s="122" t="s">
        <v>49</v>
      </c>
      <c r="R29" s="43" t="s">
        <v>40</v>
      </c>
      <c r="S29" s="43" t="s">
        <v>53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customSheetViews>
    <customSheetView guid="{C9C5CC50-BE5D-4B67-8515-C7A7865425FC}">
      <pane xSplit="7" ySplit="6" topLeftCell="H7" activePane="bottomRight" state="frozen"/>
      <selection pane="bottomRight" activeCell="E31" sqref="E31"/>
      <rowBreaks count="1" manualBreakCount="1">
        <brk id="33" max="16383" man="1"/>
      </rowBreaks>
      <pageMargins left="0.75" right="0.75" top="1" bottom="1" header="0.5" footer="0.5"/>
      <printOptions horizontalCentered="1" verticalCentered="1"/>
      <pageSetup scale="50" orientation="landscape" horizontalDpi="300" verticalDpi="300" r:id="rId1"/>
      <headerFooter alignWithMargins="0"/>
    </customSheetView>
  </customSheetViews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2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F8" sqref="F8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56</v>
      </c>
      <c r="C4" s="43" t="s">
        <v>132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94</v>
      </c>
      <c r="D6" s="131" t="s">
        <v>90</v>
      </c>
      <c r="E6" s="132" t="s">
        <v>93</v>
      </c>
      <c r="F6" s="133" t="s">
        <v>92</v>
      </c>
      <c r="G6" s="133" t="s">
        <v>96</v>
      </c>
      <c r="H6" s="134" t="s">
        <v>95</v>
      </c>
    </row>
    <row r="7" spans="2:8" ht="13.5" thickTop="1" x14ac:dyDescent="0.2">
      <c r="C7" s="135"/>
      <c r="D7" s="136"/>
      <c r="E7" s="137"/>
      <c r="F7" s="138"/>
      <c r="G7" s="138"/>
      <c r="H7" s="139"/>
    </row>
    <row r="8" spans="2:8" x14ac:dyDescent="0.2">
      <c r="C8" s="140" t="s">
        <v>133</v>
      </c>
      <c r="D8" s="141" t="s">
        <v>134</v>
      </c>
      <c r="E8" s="141"/>
      <c r="F8" s="142"/>
      <c r="G8" s="141"/>
      <c r="H8" s="141"/>
    </row>
    <row r="9" spans="2:8" x14ac:dyDescent="0.2">
      <c r="C9" s="135" t="s">
        <v>129</v>
      </c>
      <c r="D9" s="136" t="s">
        <v>130</v>
      </c>
      <c r="E9" s="137">
        <v>9895062800</v>
      </c>
      <c r="F9" s="138">
        <v>9895062800</v>
      </c>
      <c r="G9" s="138" t="s">
        <v>131</v>
      </c>
      <c r="H9" s="141"/>
    </row>
    <row r="10" spans="2:8" ht="11.25" customHeight="1" x14ac:dyDescent="0.2">
      <c r="C10" s="140"/>
      <c r="D10" s="141"/>
      <c r="E10" s="141"/>
      <c r="F10" s="142"/>
      <c r="G10" s="141"/>
      <c r="H10" s="141"/>
    </row>
    <row r="11" spans="2:8" x14ac:dyDescent="0.2">
      <c r="C11" s="140"/>
      <c r="D11" s="141"/>
      <c r="E11" s="141"/>
      <c r="F11" s="142"/>
      <c r="G11" s="141"/>
      <c r="H11" s="141"/>
    </row>
    <row r="12" spans="2:8" x14ac:dyDescent="0.2">
      <c r="C12" s="140"/>
      <c r="D12" s="141"/>
      <c r="E12" s="141"/>
      <c r="F12" s="142"/>
      <c r="G12" s="141"/>
      <c r="H12" s="141"/>
    </row>
    <row r="13" spans="2:8" x14ac:dyDescent="0.2">
      <c r="C13" s="140"/>
      <c r="D13" s="141"/>
      <c r="E13" s="141"/>
      <c r="F13" s="142"/>
      <c r="G13" s="141"/>
      <c r="H13" s="141"/>
    </row>
    <row r="14" spans="2:8" x14ac:dyDescent="0.2">
      <c r="C14" s="140"/>
      <c r="D14" s="141"/>
      <c r="E14" s="141"/>
      <c r="F14" s="142"/>
      <c r="G14" s="141"/>
      <c r="H14" s="141"/>
    </row>
    <row r="15" spans="2:8" x14ac:dyDescent="0.2">
      <c r="C15" s="140"/>
      <c r="D15" s="141"/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customSheetViews>
    <customSheetView guid="{C9C5CC50-BE5D-4B67-8515-C7A7865425FC}">
      <selection activeCell="F8" sqref="F8"/>
      <pageMargins left="0.75" right="0.75" top="1" bottom="1" header="0.5" footer="0.5"/>
      <pageSetup paperSize="9" orientation="portrait" r:id="rId1"/>
      <headerFooter alignWithMargins="0"/>
    </customSheetView>
  </customSheetViews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C14" sqref="C14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99</v>
      </c>
      <c r="B1" s="173"/>
    </row>
    <row r="2" spans="1:3" ht="15" x14ac:dyDescent="0.25">
      <c r="A2" s="174" t="s">
        <v>100</v>
      </c>
      <c r="B2" s="175">
        <f>COUNTIF(Sprint!$A$4:$A$92, "Feature")</f>
        <v>2</v>
      </c>
      <c r="C2" s="181">
        <f>B2/$B$6</f>
        <v>1</v>
      </c>
    </row>
    <row r="3" spans="1:3" ht="15" x14ac:dyDescent="0.25">
      <c r="A3" s="174" t="s">
        <v>101</v>
      </c>
      <c r="B3" s="175">
        <f>COUNTIF(Sprint!$A$4:$A$92, "Tax")</f>
        <v>0</v>
      </c>
      <c r="C3" s="181">
        <f t="shared" ref="C3:C5" si="0">B3/$B$6</f>
        <v>0</v>
      </c>
    </row>
    <row r="4" spans="1:3" ht="15" x14ac:dyDescent="0.25">
      <c r="A4" s="174" t="s">
        <v>102</v>
      </c>
      <c r="B4" s="175">
        <f>COUNTIF(Sprint!$A$4:$A$92, "Precondition")</f>
        <v>0</v>
      </c>
      <c r="C4" s="181">
        <f t="shared" si="0"/>
        <v>0</v>
      </c>
    </row>
    <row r="5" spans="1:3" ht="15" x14ac:dyDescent="0.25">
      <c r="A5" s="174" t="s">
        <v>103</v>
      </c>
      <c r="B5" s="175">
        <f>COUNTIF(Sprint!$A$4:$A$92, "Spike")</f>
        <v>0</v>
      </c>
      <c r="C5" s="181">
        <f t="shared" si="0"/>
        <v>0</v>
      </c>
    </row>
    <row r="6" spans="1:3" ht="15" x14ac:dyDescent="0.25">
      <c r="A6" s="176" t="s">
        <v>123</v>
      </c>
      <c r="B6" s="182">
        <f>SUM(B2:B5)</f>
        <v>2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104</v>
      </c>
      <c r="B8" s="175"/>
    </row>
    <row r="9" spans="1:3" ht="15" x14ac:dyDescent="0.25">
      <c r="A9" s="174" t="s">
        <v>105</v>
      </c>
      <c r="B9" s="175">
        <f>COUNTIF(Sprint!$B$4:$B$209, "Data Model")</f>
        <v>0</v>
      </c>
      <c r="C9" s="181">
        <f>B9/$B$25</f>
        <v>0</v>
      </c>
    </row>
    <row r="10" spans="1:3" ht="15" x14ac:dyDescent="0.25">
      <c r="A10" s="174" t="s">
        <v>106</v>
      </c>
      <c r="B10" s="175">
        <f>COUNTIF(Sprint!$B$4:$B$209, "Integration Model")</f>
        <v>0</v>
      </c>
      <c r="C10" s="181">
        <f>B10/$B$25</f>
        <v>0</v>
      </c>
    </row>
    <row r="11" spans="1:3" ht="15" x14ac:dyDescent="0.25">
      <c r="A11" s="174" t="s">
        <v>107</v>
      </c>
      <c r="B11" s="175">
        <f>COUNTIF(Sprint!$B$4:$B$209, "System Frameworks")</f>
        <v>0</v>
      </c>
      <c r="C11" s="181">
        <f>B11/$B$25</f>
        <v>0</v>
      </c>
    </row>
    <row r="12" spans="1:3" ht="15" x14ac:dyDescent="0.25">
      <c r="A12" s="174" t="s">
        <v>108</v>
      </c>
      <c r="B12" s="175">
        <f>COUNTIF(Sprint!$B$4:$B$209, "Data Conversions")</f>
        <v>0</v>
      </c>
      <c r="C12" s="181">
        <f t="shared" ref="C12:C24" si="1">B12/$B$25</f>
        <v>0</v>
      </c>
    </row>
    <row r="13" spans="1:3" ht="15" x14ac:dyDescent="0.25">
      <c r="A13" s="174" t="s">
        <v>109</v>
      </c>
      <c r="B13" s="175">
        <f>COUNTIF(Sprint!$B$4:$B$209, "Security")</f>
        <v>0</v>
      </c>
      <c r="C13" s="181">
        <f t="shared" si="1"/>
        <v>0</v>
      </c>
    </row>
    <row r="14" spans="1:3" ht="15" x14ac:dyDescent="0.25">
      <c r="A14" s="174" t="s">
        <v>110</v>
      </c>
      <c r="B14" s="175">
        <f>COUNTIF(Sprint!$B$4:$B$209, "Cash Payment Tracking")</f>
        <v>0</v>
      </c>
      <c r="C14" s="181">
        <f t="shared" si="1"/>
        <v>0</v>
      </c>
    </row>
    <row r="15" spans="1:3" ht="15" x14ac:dyDescent="0.25">
      <c r="A15" s="174" t="s">
        <v>111</v>
      </c>
      <c r="B15" s="175">
        <f>COUNTIF(Sprint!$B$4:$B$209, "Views")</f>
        <v>2</v>
      </c>
      <c r="C15" s="181">
        <f t="shared" si="1"/>
        <v>1</v>
      </c>
    </row>
    <row r="16" spans="1:3" ht="15" x14ac:dyDescent="0.25">
      <c r="A16" s="174" t="s">
        <v>112</v>
      </c>
      <c r="B16" s="175">
        <f>COUNTIF(Sprint!$B$4:$B$209, "Lookups")</f>
        <v>0</v>
      </c>
      <c r="C16" s="181">
        <f t="shared" si="1"/>
        <v>0</v>
      </c>
    </row>
    <row r="17" spans="1:3" ht="15" x14ac:dyDescent="0.25">
      <c r="A17" s="174" t="s">
        <v>113</v>
      </c>
      <c r="B17" s="175">
        <f>COUNTIF(Sprint!$B$4:$B$209, "Detail screens")</f>
        <v>0</v>
      </c>
      <c r="C17" s="181">
        <f t="shared" si="1"/>
        <v>0</v>
      </c>
    </row>
    <row r="18" spans="1:3" ht="15" x14ac:dyDescent="0.25">
      <c r="A18" s="174" t="s">
        <v>114</v>
      </c>
      <c r="B18" s="175">
        <f>COUNTIF(Sprint!$B$4:$B$209, "Notifications")</f>
        <v>0</v>
      </c>
      <c r="C18" s="181">
        <f t="shared" si="1"/>
        <v>0</v>
      </c>
    </row>
    <row r="19" spans="1:3" ht="15" x14ac:dyDescent="0.25">
      <c r="A19" s="174" t="s">
        <v>115</v>
      </c>
      <c r="B19" s="175">
        <f>COUNTIF(Sprint!$B$4:$B$209, "Reports")</f>
        <v>0</v>
      </c>
      <c r="C19" s="181">
        <f t="shared" si="1"/>
        <v>0</v>
      </c>
    </row>
    <row r="20" spans="1:3" ht="15" x14ac:dyDescent="0.25">
      <c r="A20" s="174" t="s">
        <v>116</v>
      </c>
      <c r="B20" s="175">
        <f>COUNTIF(Sprint!$B$4:$B$209, "Installation Package")</f>
        <v>0</v>
      </c>
      <c r="C20" s="181">
        <f t="shared" si="1"/>
        <v>0</v>
      </c>
    </row>
    <row r="21" spans="1:3" ht="15" x14ac:dyDescent="0.25">
      <c r="A21" s="174" t="s">
        <v>117</v>
      </c>
      <c r="B21" s="175">
        <f>COUNTIF(Sprint!$B$4:$B$209, "Deployment")</f>
        <v>0</v>
      </c>
      <c r="C21" s="181">
        <f t="shared" si="1"/>
        <v>0</v>
      </c>
    </row>
    <row r="22" spans="1:3" ht="15" x14ac:dyDescent="0.25">
      <c r="A22" s="174" t="s">
        <v>118</v>
      </c>
      <c r="B22" s="175">
        <f>COUNTIF(Sprint!$B$4:$B$209, "Documentation")</f>
        <v>0</v>
      </c>
      <c r="C22" s="181">
        <f t="shared" si="1"/>
        <v>0</v>
      </c>
    </row>
    <row r="23" spans="1:3" ht="15" x14ac:dyDescent="0.25">
      <c r="A23" s="174" t="s">
        <v>119</v>
      </c>
      <c r="B23" s="175">
        <f>COUNTIF(Sprint!$B$4:$B$209, "Testing")</f>
        <v>0</v>
      </c>
      <c r="C23" s="181">
        <f t="shared" si="1"/>
        <v>0</v>
      </c>
    </row>
    <row r="24" spans="1:3" ht="15" x14ac:dyDescent="0.25">
      <c r="A24" s="174" t="s">
        <v>120</v>
      </c>
      <c r="B24" s="175">
        <f>COUNTIF(Sprint!$B$4:$B$209, "Project Mgt")</f>
        <v>0</v>
      </c>
      <c r="C24" s="181">
        <f>B24/$B$25</f>
        <v>0</v>
      </c>
    </row>
    <row r="25" spans="1:3" ht="15" x14ac:dyDescent="0.25">
      <c r="A25" s="176" t="s">
        <v>123</v>
      </c>
      <c r="B25" s="180">
        <f>SUM(B9:B24)</f>
        <v>2</v>
      </c>
      <c r="C25" s="181">
        <f>SUM(C9:C24)</f>
        <v>1</v>
      </c>
    </row>
    <row r="27" spans="1:3" ht="15" x14ac:dyDescent="0.25">
      <c r="A27" s="179" t="s">
        <v>122</v>
      </c>
    </row>
    <row r="28" spans="1:3" ht="15" x14ac:dyDescent="0.25">
      <c r="A28" s="174" t="s">
        <v>124</v>
      </c>
      <c r="B28" s="175">
        <f ca="1">COUNTIF(Sprint!$G$4:$G$92, "Complete")</f>
        <v>0</v>
      </c>
      <c r="C28" s="181">
        <f ca="1">B28/$B$33</f>
        <v>0</v>
      </c>
    </row>
    <row r="29" spans="1:3" ht="15" x14ac:dyDescent="0.25">
      <c r="A29" s="174" t="s">
        <v>125</v>
      </c>
      <c r="B29" s="175">
        <f ca="1">COUNTIF(Sprint!$G$4:$G$92, "In Progress")</f>
        <v>2</v>
      </c>
      <c r="C29" s="181">
        <f t="shared" ref="C29:C32" ca="1" si="2">B29/$B$33</f>
        <v>3.4482758620689655E-2</v>
      </c>
    </row>
    <row r="30" spans="1:3" ht="15" x14ac:dyDescent="0.25">
      <c r="A30" s="174" t="s">
        <v>126</v>
      </c>
      <c r="B30" s="175">
        <f ca="1">COUNTIF(Sprint!$G$4:$G$92, "Pending")</f>
        <v>56</v>
      </c>
      <c r="C30" s="181">
        <f t="shared" ca="1" si="2"/>
        <v>0.96551724137931039</v>
      </c>
    </row>
    <row r="31" spans="1:3" ht="15" x14ac:dyDescent="0.25">
      <c r="A31" s="174" t="s">
        <v>121</v>
      </c>
      <c r="B31" s="175">
        <f ca="1">COUNTIF(Sprint!$G$4:$G$92, "Postponed")</f>
        <v>0</v>
      </c>
      <c r="C31" s="181">
        <f t="shared" ca="1" si="2"/>
        <v>0</v>
      </c>
    </row>
    <row r="32" spans="1:3" ht="15" x14ac:dyDescent="0.25">
      <c r="A32" s="179" t="s">
        <v>127</v>
      </c>
      <c r="B32" s="175">
        <f ca="1">COUNTIF(Sprint!$G$4:$G$92, "Cancelled")</f>
        <v>0</v>
      </c>
      <c r="C32" s="181">
        <f t="shared" ca="1" si="2"/>
        <v>0</v>
      </c>
    </row>
    <row r="33" spans="1:3" ht="15" x14ac:dyDescent="0.25">
      <c r="A33" s="184" t="s">
        <v>123</v>
      </c>
      <c r="B33" s="185">
        <f ca="1">SUM(B28:B32)</f>
        <v>58</v>
      </c>
      <c r="C33" s="186">
        <f ca="1">SUM(C28:C32)</f>
        <v>1</v>
      </c>
    </row>
  </sheetData>
  <customSheetViews>
    <customSheetView guid="{C9C5CC50-BE5D-4B67-8515-C7A7865425FC}">
      <selection activeCell="C14" sqref="C14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Piper Dougherty</cp:lastModifiedBy>
  <cp:revision>1</cp:revision>
  <cp:lastPrinted>2005-08-15T09:18:22Z</cp:lastPrinted>
  <dcterms:created xsi:type="dcterms:W3CDTF">2005-01-26T21:50:47Z</dcterms:created>
  <dcterms:modified xsi:type="dcterms:W3CDTF">2017-02-06T20:33:09Z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